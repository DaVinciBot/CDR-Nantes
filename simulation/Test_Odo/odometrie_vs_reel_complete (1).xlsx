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DR\CDR-Nantes\simulation\Test_Odo\"/>
    </mc:Choice>
  </mc:AlternateContent>
  <xr:revisionPtr revIDLastSave="0" documentId="13_ncr:1_{3762FF30-47C0-44A8-9D04-FF0EF6379221}" xr6:coauthVersionLast="47" xr6:coauthVersionMax="47" xr10:uidLastSave="{00000000-0000-0000-0000-000000000000}"/>
  <bookViews>
    <workbookView xWindow="3810" yWindow="8055" windowWidth="21600" windowHeight="11385" tabRatio="500" activeTab="1" xr2:uid="{00000000-000D-0000-FFFF-FFFF00000000}"/>
  </bookViews>
  <sheets>
    <sheet name="Exemple" sheetId="1" r:id="rId1"/>
    <sheet name="Feuil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50" i="2" l="1"/>
  <c r="T50" i="2"/>
  <c r="S50" i="2"/>
  <c r="V50" i="2" s="1"/>
  <c r="Q50" i="2"/>
  <c r="P50" i="2"/>
  <c r="O50" i="2"/>
  <c r="R50" i="2" s="1"/>
  <c r="M50" i="2"/>
  <c r="L50" i="2"/>
  <c r="K50" i="2"/>
  <c r="I50" i="2"/>
  <c r="H50" i="2"/>
  <c r="U49" i="2"/>
  <c r="T49" i="2"/>
  <c r="S49" i="2"/>
  <c r="V49" i="2" s="1"/>
  <c r="Q49" i="2"/>
  <c r="P49" i="2"/>
  <c r="O49" i="2"/>
  <c r="R49" i="2" s="1"/>
  <c r="M49" i="2"/>
  <c r="L49" i="2"/>
  <c r="K49" i="2"/>
  <c r="I49" i="2"/>
  <c r="H49" i="2"/>
  <c r="U48" i="2"/>
  <c r="T48" i="2"/>
  <c r="S48" i="2"/>
  <c r="Q48" i="2"/>
  <c r="P48" i="2"/>
  <c r="O48" i="2"/>
  <c r="M48" i="2"/>
  <c r="L48" i="2"/>
  <c r="K48" i="2"/>
  <c r="I48" i="2"/>
  <c r="H48" i="2"/>
  <c r="U47" i="2"/>
  <c r="T47" i="2"/>
  <c r="S47" i="2"/>
  <c r="Q47" i="2"/>
  <c r="P47" i="2"/>
  <c r="O47" i="2"/>
  <c r="R47" i="2" s="1"/>
  <c r="M47" i="2"/>
  <c r="L47" i="2"/>
  <c r="K47" i="2"/>
  <c r="I47" i="2"/>
  <c r="H47" i="2"/>
  <c r="J47" i="2" s="1"/>
  <c r="U46" i="2"/>
  <c r="T46" i="2"/>
  <c r="S46" i="2"/>
  <c r="Q46" i="2"/>
  <c r="P46" i="2"/>
  <c r="O46" i="2"/>
  <c r="R46" i="2" s="1"/>
  <c r="M46" i="2"/>
  <c r="L46" i="2"/>
  <c r="K46" i="2"/>
  <c r="N46" i="2" s="1"/>
  <c r="I46" i="2"/>
  <c r="H46" i="2"/>
  <c r="U45" i="2"/>
  <c r="T45" i="2"/>
  <c r="S45" i="2"/>
  <c r="V45" i="2" s="1"/>
  <c r="Q45" i="2"/>
  <c r="P45" i="2"/>
  <c r="O45" i="2"/>
  <c r="M45" i="2"/>
  <c r="L45" i="2"/>
  <c r="K45" i="2"/>
  <c r="N45" i="2" s="1"/>
  <c r="I45" i="2"/>
  <c r="H45" i="2"/>
  <c r="U44" i="2"/>
  <c r="T44" i="2"/>
  <c r="S44" i="2"/>
  <c r="Q44" i="2"/>
  <c r="P44" i="2"/>
  <c r="O44" i="2"/>
  <c r="M44" i="2"/>
  <c r="L44" i="2"/>
  <c r="K44" i="2"/>
  <c r="I44" i="2"/>
  <c r="H44" i="2"/>
  <c r="U43" i="2"/>
  <c r="T43" i="2"/>
  <c r="S43" i="2"/>
  <c r="Q43" i="2"/>
  <c r="P43" i="2"/>
  <c r="O43" i="2"/>
  <c r="M43" i="2"/>
  <c r="L43" i="2"/>
  <c r="K43" i="2"/>
  <c r="I43" i="2"/>
  <c r="H43" i="2"/>
  <c r="U42" i="2"/>
  <c r="T42" i="2"/>
  <c r="S42" i="2"/>
  <c r="Q42" i="2"/>
  <c r="P42" i="2"/>
  <c r="O42" i="2"/>
  <c r="R42" i="2" s="1"/>
  <c r="M42" i="2"/>
  <c r="L42" i="2"/>
  <c r="K42" i="2"/>
  <c r="I42" i="2"/>
  <c r="H42" i="2"/>
  <c r="U41" i="2"/>
  <c r="T41" i="2"/>
  <c r="S41" i="2"/>
  <c r="V41" i="2" s="1"/>
  <c r="Q41" i="2"/>
  <c r="P41" i="2"/>
  <c r="O41" i="2"/>
  <c r="M41" i="2"/>
  <c r="L41" i="2"/>
  <c r="K41" i="2"/>
  <c r="I41" i="2"/>
  <c r="H41" i="2"/>
  <c r="U40" i="2"/>
  <c r="T40" i="2"/>
  <c r="S40" i="2"/>
  <c r="Q40" i="2"/>
  <c r="P40" i="2"/>
  <c r="O40" i="2"/>
  <c r="M40" i="2"/>
  <c r="L40" i="2"/>
  <c r="K40" i="2"/>
  <c r="U37" i="2"/>
  <c r="T37" i="2"/>
  <c r="S37" i="2"/>
  <c r="Q37" i="2"/>
  <c r="P37" i="2"/>
  <c r="O37" i="2"/>
  <c r="M37" i="2"/>
  <c r="L37" i="2"/>
  <c r="K37" i="2"/>
  <c r="I37" i="2"/>
  <c r="H37" i="2"/>
  <c r="U36" i="2"/>
  <c r="T36" i="2"/>
  <c r="S36" i="2"/>
  <c r="Q36" i="2"/>
  <c r="P36" i="2"/>
  <c r="O36" i="2"/>
  <c r="M36" i="2"/>
  <c r="L36" i="2"/>
  <c r="K36" i="2"/>
  <c r="I36" i="2"/>
  <c r="H36" i="2"/>
  <c r="U35" i="2"/>
  <c r="T35" i="2"/>
  <c r="S35" i="2"/>
  <c r="Q35" i="2"/>
  <c r="P35" i="2"/>
  <c r="O35" i="2"/>
  <c r="R35" i="2" s="1"/>
  <c r="M35" i="2"/>
  <c r="L35" i="2"/>
  <c r="K35" i="2"/>
  <c r="I35" i="2"/>
  <c r="H35" i="2"/>
  <c r="U34" i="2"/>
  <c r="T34" i="2"/>
  <c r="S34" i="2"/>
  <c r="Q34" i="2"/>
  <c r="P34" i="2"/>
  <c r="O34" i="2"/>
  <c r="R34" i="2" s="1"/>
  <c r="M34" i="2"/>
  <c r="L34" i="2"/>
  <c r="K34" i="2"/>
  <c r="N34" i="2" s="1"/>
  <c r="I34" i="2"/>
  <c r="H34" i="2"/>
  <c r="U33" i="2"/>
  <c r="T33" i="2"/>
  <c r="S33" i="2"/>
  <c r="Q33" i="2"/>
  <c r="P33" i="2"/>
  <c r="O33" i="2"/>
  <c r="M33" i="2"/>
  <c r="L33" i="2"/>
  <c r="K33" i="2"/>
  <c r="I33" i="2"/>
  <c r="H33" i="2"/>
  <c r="U32" i="2"/>
  <c r="T32" i="2"/>
  <c r="S32" i="2"/>
  <c r="Q32" i="2"/>
  <c r="P32" i="2"/>
  <c r="O32" i="2"/>
  <c r="M32" i="2"/>
  <c r="L32" i="2"/>
  <c r="K32" i="2"/>
  <c r="I32" i="2"/>
  <c r="H32" i="2"/>
  <c r="U31" i="2"/>
  <c r="T31" i="2"/>
  <c r="S31" i="2"/>
  <c r="Q31" i="2"/>
  <c r="P31" i="2"/>
  <c r="O31" i="2"/>
  <c r="R31" i="2" s="1"/>
  <c r="M31" i="2"/>
  <c r="L31" i="2"/>
  <c r="K31" i="2"/>
  <c r="I31" i="2"/>
  <c r="H31" i="2"/>
  <c r="U30" i="2"/>
  <c r="T30" i="2"/>
  <c r="S30" i="2"/>
  <c r="Q30" i="2"/>
  <c r="P30" i="2"/>
  <c r="O30" i="2"/>
  <c r="R30" i="2" s="1"/>
  <c r="M30" i="2"/>
  <c r="L30" i="2"/>
  <c r="K30" i="2"/>
  <c r="N30" i="2" s="1"/>
  <c r="I30" i="2"/>
  <c r="H30" i="2"/>
  <c r="U29" i="2"/>
  <c r="T29" i="2"/>
  <c r="S29" i="2"/>
  <c r="Q29" i="2"/>
  <c r="P29" i="2"/>
  <c r="O29" i="2"/>
  <c r="M29" i="2"/>
  <c r="L29" i="2"/>
  <c r="K29" i="2"/>
  <c r="I29" i="2"/>
  <c r="H29" i="2"/>
  <c r="U28" i="2"/>
  <c r="T28" i="2"/>
  <c r="S28" i="2"/>
  <c r="Q28" i="2"/>
  <c r="P28" i="2"/>
  <c r="O28" i="2"/>
  <c r="M28" i="2"/>
  <c r="L28" i="2"/>
  <c r="K28" i="2"/>
  <c r="I28" i="2"/>
  <c r="H28" i="2"/>
  <c r="U27" i="2"/>
  <c r="T27" i="2"/>
  <c r="S27" i="2"/>
  <c r="V27" i="2" s="1"/>
  <c r="Q27" i="2"/>
  <c r="P27" i="2"/>
  <c r="O27" i="2"/>
  <c r="R27" i="2" s="1"/>
  <c r="M27" i="2"/>
  <c r="L27" i="2"/>
  <c r="K27" i="2"/>
  <c r="U24" i="2"/>
  <c r="T24" i="2"/>
  <c r="S24" i="2"/>
  <c r="V24" i="2" s="1"/>
  <c r="Q24" i="2"/>
  <c r="P24" i="2"/>
  <c r="O24" i="2"/>
  <c r="M24" i="2"/>
  <c r="L24" i="2"/>
  <c r="K24" i="2"/>
  <c r="I24" i="2"/>
  <c r="H24" i="2"/>
  <c r="U23" i="2"/>
  <c r="T23" i="2"/>
  <c r="S23" i="2"/>
  <c r="V23" i="2" s="1"/>
  <c r="Q23" i="2"/>
  <c r="P23" i="2"/>
  <c r="O23" i="2"/>
  <c r="M23" i="2"/>
  <c r="L23" i="2"/>
  <c r="K23" i="2"/>
  <c r="I23" i="2"/>
  <c r="H23" i="2"/>
  <c r="U22" i="2"/>
  <c r="T22" i="2"/>
  <c r="S22" i="2"/>
  <c r="Q22" i="2"/>
  <c r="P22" i="2"/>
  <c r="O22" i="2"/>
  <c r="R22" i="2" s="1"/>
  <c r="M22" i="2"/>
  <c r="L22" i="2"/>
  <c r="K22" i="2"/>
  <c r="I22" i="2"/>
  <c r="H22" i="2"/>
  <c r="U21" i="2"/>
  <c r="T21" i="2"/>
  <c r="S21" i="2"/>
  <c r="Q21" i="2"/>
  <c r="P21" i="2"/>
  <c r="O21" i="2"/>
  <c r="M21" i="2"/>
  <c r="L21" i="2"/>
  <c r="K21" i="2"/>
  <c r="N21" i="2" s="1"/>
  <c r="I21" i="2"/>
  <c r="H21" i="2"/>
  <c r="U20" i="2"/>
  <c r="T20" i="2"/>
  <c r="S20" i="2"/>
  <c r="Q20" i="2"/>
  <c r="P20" i="2"/>
  <c r="O20" i="2"/>
  <c r="R20" i="2" s="1"/>
  <c r="M20" i="2"/>
  <c r="L20" i="2"/>
  <c r="K20" i="2"/>
  <c r="I20" i="2"/>
  <c r="H20" i="2"/>
  <c r="U19" i="2"/>
  <c r="T19" i="2"/>
  <c r="S19" i="2"/>
  <c r="Q19" i="2"/>
  <c r="P19" i="2"/>
  <c r="O19" i="2"/>
  <c r="M19" i="2"/>
  <c r="L19" i="2"/>
  <c r="K19" i="2"/>
  <c r="I19" i="2"/>
  <c r="H19" i="2"/>
  <c r="U18" i="2"/>
  <c r="T18" i="2"/>
  <c r="S18" i="2"/>
  <c r="V18" i="2" s="1"/>
  <c r="Q18" i="2"/>
  <c r="P18" i="2"/>
  <c r="O18" i="2"/>
  <c r="M18" i="2"/>
  <c r="L18" i="2"/>
  <c r="K18" i="2"/>
  <c r="I18" i="2"/>
  <c r="H18" i="2"/>
  <c r="U17" i="2"/>
  <c r="T17" i="2"/>
  <c r="S17" i="2"/>
  <c r="V17" i="2" s="1"/>
  <c r="Q17" i="2"/>
  <c r="P17" i="2"/>
  <c r="O17" i="2"/>
  <c r="M17" i="2"/>
  <c r="L17" i="2"/>
  <c r="K17" i="2"/>
  <c r="N17" i="2" s="1"/>
  <c r="I17" i="2"/>
  <c r="H17" i="2"/>
  <c r="U16" i="2"/>
  <c r="T16" i="2"/>
  <c r="S16" i="2"/>
  <c r="Q16" i="2"/>
  <c r="P16" i="2"/>
  <c r="O16" i="2"/>
  <c r="M16" i="2"/>
  <c r="L16" i="2"/>
  <c r="K16" i="2"/>
  <c r="N16" i="2" s="1"/>
  <c r="I16" i="2"/>
  <c r="H16" i="2"/>
  <c r="U15" i="2"/>
  <c r="T15" i="2"/>
  <c r="S15" i="2"/>
  <c r="Q15" i="2"/>
  <c r="P15" i="2"/>
  <c r="O15" i="2"/>
  <c r="M15" i="2"/>
  <c r="L15" i="2"/>
  <c r="K15" i="2"/>
  <c r="I15" i="2"/>
  <c r="H15" i="2"/>
  <c r="U50" i="1"/>
  <c r="T50" i="1"/>
  <c r="S50" i="1"/>
  <c r="Q50" i="1"/>
  <c r="P50" i="1"/>
  <c r="O50" i="1"/>
  <c r="M50" i="1"/>
  <c r="L50" i="1"/>
  <c r="K50" i="1"/>
  <c r="I50" i="1"/>
  <c r="H50" i="1"/>
  <c r="J50" i="1" s="1"/>
  <c r="U49" i="1"/>
  <c r="T49" i="1"/>
  <c r="S49" i="1"/>
  <c r="Q49" i="1"/>
  <c r="P49" i="1"/>
  <c r="O49" i="1"/>
  <c r="M49" i="1"/>
  <c r="L49" i="1"/>
  <c r="K49" i="1"/>
  <c r="I49" i="1"/>
  <c r="H49" i="1"/>
  <c r="U48" i="1"/>
  <c r="T48" i="1"/>
  <c r="S48" i="1"/>
  <c r="Q48" i="1"/>
  <c r="P48" i="1"/>
  <c r="O48" i="1"/>
  <c r="M48" i="1"/>
  <c r="L48" i="1"/>
  <c r="K48" i="1"/>
  <c r="I48" i="1"/>
  <c r="H48" i="1"/>
  <c r="U47" i="1"/>
  <c r="T47" i="1"/>
  <c r="S47" i="1"/>
  <c r="V47" i="1" s="1"/>
  <c r="Q47" i="1"/>
  <c r="P47" i="1"/>
  <c r="O47" i="1"/>
  <c r="M47" i="1"/>
  <c r="L47" i="1"/>
  <c r="K47" i="1"/>
  <c r="N47" i="1" s="1"/>
  <c r="I47" i="1"/>
  <c r="H47" i="1"/>
  <c r="U46" i="1"/>
  <c r="T46" i="1"/>
  <c r="S46" i="1"/>
  <c r="Q46" i="1"/>
  <c r="P46" i="1"/>
  <c r="O46" i="1"/>
  <c r="M46" i="1"/>
  <c r="L46" i="1"/>
  <c r="K46" i="1"/>
  <c r="I46" i="1"/>
  <c r="H46" i="1"/>
  <c r="U45" i="1"/>
  <c r="T45" i="1"/>
  <c r="S45" i="1"/>
  <c r="Q45" i="1"/>
  <c r="P45" i="1"/>
  <c r="O45" i="1"/>
  <c r="M45" i="1"/>
  <c r="L45" i="1"/>
  <c r="K45" i="1"/>
  <c r="I45" i="1"/>
  <c r="H45" i="1"/>
  <c r="U44" i="1"/>
  <c r="T44" i="1"/>
  <c r="S44" i="1"/>
  <c r="Q44" i="1"/>
  <c r="P44" i="1"/>
  <c r="O44" i="1"/>
  <c r="M44" i="1"/>
  <c r="L44" i="1"/>
  <c r="K44" i="1"/>
  <c r="I44" i="1"/>
  <c r="H44" i="1"/>
  <c r="U43" i="1"/>
  <c r="T43" i="1"/>
  <c r="S43" i="1"/>
  <c r="V43" i="1" s="1"/>
  <c r="Q43" i="1"/>
  <c r="P43" i="1"/>
  <c r="O43" i="1"/>
  <c r="R43" i="1" s="1"/>
  <c r="M43" i="1"/>
  <c r="L43" i="1"/>
  <c r="K43" i="1"/>
  <c r="I43" i="1"/>
  <c r="H43" i="1"/>
  <c r="U42" i="1"/>
  <c r="T42" i="1"/>
  <c r="S42" i="1"/>
  <c r="Q42" i="1"/>
  <c r="P42" i="1"/>
  <c r="O42" i="1"/>
  <c r="M42" i="1"/>
  <c r="L42" i="1"/>
  <c r="K42" i="1"/>
  <c r="I42" i="1"/>
  <c r="H42" i="1"/>
  <c r="U41" i="1"/>
  <c r="T41" i="1"/>
  <c r="S41" i="1"/>
  <c r="Q41" i="1"/>
  <c r="P41" i="1"/>
  <c r="O41" i="1"/>
  <c r="M41" i="1"/>
  <c r="L41" i="1"/>
  <c r="K41" i="1"/>
  <c r="I41" i="1"/>
  <c r="H41" i="1"/>
  <c r="U40" i="1"/>
  <c r="T40" i="1"/>
  <c r="S40" i="1"/>
  <c r="Q40" i="1"/>
  <c r="P40" i="1"/>
  <c r="O40" i="1"/>
  <c r="M40" i="1"/>
  <c r="L40" i="1"/>
  <c r="K40" i="1"/>
  <c r="U37" i="1"/>
  <c r="T37" i="1"/>
  <c r="S37" i="1"/>
  <c r="Q37" i="1"/>
  <c r="P37" i="1"/>
  <c r="O37" i="1"/>
  <c r="M37" i="1"/>
  <c r="L37" i="1"/>
  <c r="K37" i="1"/>
  <c r="N37" i="1" s="1"/>
  <c r="I37" i="1"/>
  <c r="H37" i="1"/>
  <c r="U36" i="1"/>
  <c r="T36" i="1"/>
  <c r="S36" i="1"/>
  <c r="Q36" i="1"/>
  <c r="P36" i="1"/>
  <c r="O36" i="1"/>
  <c r="M36" i="1"/>
  <c r="L36" i="1"/>
  <c r="K36" i="1"/>
  <c r="I36" i="1"/>
  <c r="H36" i="1"/>
  <c r="U35" i="1"/>
  <c r="T35" i="1"/>
  <c r="S35" i="1"/>
  <c r="Q35" i="1"/>
  <c r="P35" i="1"/>
  <c r="O35" i="1"/>
  <c r="M35" i="1"/>
  <c r="L35" i="1"/>
  <c r="K35" i="1"/>
  <c r="N35" i="1" s="1"/>
  <c r="I35" i="1"/>
  <c r="H35" i="1"/>
  <c r="J35" i="1" s="1"/>
  <c r="U34" i="1"/>
  <c r="T34" i="1"/>
  <c r="S34" i="1"/>
  <c r="Q34" i="1"/>
  <c r="P34" i="1"/>
  <c r="O34" i="1"/>
  <c r="M34" i="1"/>
  <c r="L34" i="1"/>
  <c r="K34" i="1"/>
  <c r="I34" i="1"/>
  <c r="H34" i="1"/>
  <c r="U33" i="1"/>
  <c r="T33" i="1"/>
  <c r="S33" i="1"/>
  <c r="Q33" i="1"/>
  <c r="P33" i="1"/>
  <c r="O33" i="1"/>
  <c r="M33" i="1"/>
  <c r="L33" i="1"/>
  <c r="K33" i="1"/>
  <c r="I33" i="1"/>
  <c r="H33" i="1"/>
  <c r="U32" i="1"/>
  <c r="T32" i="1"/>
  <c r="S32" i="1"/>
  <c r="Q32" i="1"/>
  <c r="P32" i="1"/>
  <c r="O32" i="1"/>
  <c r="R32" i="1" s="1"/>
  <c r="M32" i="1"/>
  <c r="L32" i="1"/>
  <c r="K32" i="1"/>
  <c r="I32" i="1"/>
  <c r="H32" i="1"/>
  <c r="U31" i="1"/>
  <c r="T31" i="1"/>
  <c r="S31" i="1"/>
  <c r="Q31" i="1"/>
  <c r="P31" i="1"/>
  <c r="O31" i="1"/>
  <c r="M31" i="1"/>
  <c r="L31" i="1"/>
  <c r="K31" i="1"/>
  <c r="I31" i="1"/>
  <c r="H31" i="1"/>
  <c r="U30" i="1"/>
  <c r="T30" i="1"/>
  <c r="S30" i="1"/>
  <c r="Q30" i="1"/>
  <c r="P30" i="1"/>
  <c r="O30" i="1"/>
  <c r="M30" i="1"/>
  <c r="L30" i="1"/>
  <c r="N30" i="1" s="1"/>
  <c r="K30" i="1"/>
  <c r="I30" i="1"/>
  <c r="H30" i="1"/>
  <c r="U29" i="1"/>
  <c r="T29" i="1"/>
  <c r="S29" i="1"/>
  <c r="Q29" i="1"/>
  <c r="P29" i="1"/>
  <c r="O29" i="1"/>
  <c r="M29" i="1"/>
  <c r="L29" i="1"/>
  <c r="K29" i="1"/>
  <c r="N29" i="1" s="1"/>
  <c r="I29" i="1"/>
  <c r="H29" i="1"/>
  <c r="U28" i="1"/>
  <c r="T28" i="1"/>
  <c r="S28" i="1"/>
  <c r="Q28" i="1"/>
  <c r="P28" i="1"/>
  <c r="O28" i="1"/>
  <c r="M28" i="1"/>
  <c r="L28" i="1"/>
  <c r="K28" i="1"/>
  <c r="N28" i="1" s="1"/>
  <c r="J28" i="1"/>
  <c r="I28" i="1"/>
  <c r="H28" i="1"/>
  <c r="U27" i="1"/>
  <c r="T27" i="1"/>
  <c r="S27" i="1"/>
  <c r="Q27" i="1"/>
  <c r="P27" i="1"/>
  <c r="O27" i="1"/>
  <c r="M27" i="1"/>
  <c r="L27" i="1"/>
  <c r="K27" i="1"/>
  <c r="N27" i="1" s="1"/>
  <c r="U24" i="1"/>
  <c r="T24" i="1"/>
  <c r="S24" i="1"/>
  <c r="Q24" i="1"/>
  <c r="P24" i="1"/>
  <c r="O24" i="1"/>
  <c r="R24" i="1" s="1"/>
  <c r="M24" i="1"/>
  <c r="L24" i="1"/>
  <c r="K24" i="1"/>
  <c r="I24" i="1"/>
  <c r="H24" i="1"/>
  <c r="U23" i="1"/>
  <c r="T23" i="1"/>
  <c r="S23" i="1"/>
  <c r="Q23" i="1"/>
  <c r="P23" i="1"/>
  <c r="O23" i="1"/>
  <c r="M23" i="1"/>
  <c r="L23" i="1"/>
  <c r="K23" i="1"/>
  <c r="I23" i="1"/>
  <c r="H23" i="1"/>
  <c r="U22" i="1"/>
  <c r="T22" i="1"/>
  <c r="S22" i="1"/>
  <c r="Q22" i="1"/>
  <c r="P22" i="1"/>
  <c r="O22" i="1"/>
  <c r="M22" i="1"/>
  <c r="L22" i="1"/>
  <c r="K22" i="1"/>
  <c r="I22" i="1"/>
  <c r="H22" i="1"/>
  <c r="U21" i="1"/>
  <c r="T21" i="1"/>
  <c r="S21" i="1"/>
  <c r="Q21" i="1"/>
  <c r="P21" i="1"/>
  <c r="O21" i="1"/>
  <c r="M21" i="1"/>
  <c r="L21" i="1"/>
  <c r="K21" i="1"/>
  <c r="I21" i="1"/>
  <c r="H21" i="1"/>
  <c r="U20" i="1"/>
  <c r="T20" i="1"/>
  <c r="S20" i="1"/>
  <c r="Q20" i="1"/>
  <c r="P20" i="1"/>
  <c r="O20" i="1"/>
  <c r="M20" i="1"/>
  <c r="L20" i="1"/>
  <c r="K20" i="1"/>
  <c r="I20" i="1"/>
  <c r="H20" i="1"/>
  <c r="U19" i="1"/>
  <c r="T19" i="1"/>
  <c r="S19" i="1"/>
  <c r="Q19" i="1"/>
  <c r="P19" i="1"/>
  <c r="O19" i="1"/>
  <c r="M19" i="1"/>
  <c r="L19" i="1"/>
  <c r="K19" i="1"/>
  <c r="I19" i="1"/>
  <c r="H19" i="1"/>
  <c r="J19" i="1" s="1"/>
  <c r="U18" i="1"/>
  <c r="T18" i="1"/>
  <c r="S18" i="1"/>
  <c r="Q18" i="1"/>
  <c r="P18" i="1"/>
  <c r="O18" i="1"/>
  <c r="M18" i="1"/>
  <c r="L18" i="1"/>
  <c r="K18" i="1"/>
  <c r="I18" i="1"/>
  <c r="H18" i="1"/>
  <c r="U17" i="1"/>
  <c r="T17" i="1"/>
  <c r="S17" i="1"/>
  <c r="Q17" i="1"/>
  <c r="P17" i="1"/>
  <c r="O17" i="1"/>
  <c r="M17" i="1"/>
  <c r="L17" i="1"/>
  <c r="K17" i="1"/>
  <c r="I17" i="1"/>
  <c r="H17" i="1"/>
  <c r="U16" i="1"/>
  <c r="T16" i="1"/>
  <c r="S16" i="1"/>
  <c r="Q16" i="1"/>
  <c r="P16" i="1"/>
  <c r="O16" i="1"/>
  <c r="M16" i="1"/>
  <c r="L16" i="1"/>
  <c r="K16" i="1"/>
  <c r="N16" i="1" s="1"/>
  <c r="I16" i="1"/>
  <c r="J16" i="1" s="1"/>
  <c r="H16" i="1"/>
  <c r="U15" i="1"/>
  <c r="T15" i="1"/>
  <c r="S15" i="1"/>
  <c r="Q15" i="1"/>
  <c r="P15" i="1"/>
  <c r="O15" i="1"/>
  <c r="M15" i="1"/>
  <c r="L15" i="1"/>
  <c r="K15" i="1"/>
  <c r="I15" i="1"/>
  <c r="H15" i="1"/>
  <c r="V19" i="2" l="1"/>
  <c r="N41" i="2"/>
  <c r="J20" i="1"/>
  <c r="N48" i="1"/>
  <c r="V27" i="1"/>
  <c r="V28" i="1"/>
  <c r="J32" i="1"/>
  <c r="J44" i="1"/>
  <c r="N46" i="1"/>
  <c r="V16" i="2"/>
  <c r="R41" i="2"/>
  <c r="J48" i="2"/>
  <c r="R24" i="2"/>
  <c r="V28" i="2"/>
  <c r="J46" i="2"/>
  <c r="B55" i="2"/>
  <c r="J24" i="1"/>
  <c r="J37" i="1"/>
  <c r="N15" i="2"/>
  <c r="V22" i="2"/>
  <c r="N43" i="2"/>
  <c r="R29" i="1"/>
  <c r="J36" i="1"/>
  <c r="R41" i="1"/>
  <c r="J48" i="1"/>
  <c r="N50" i="1"/>
  <c r="R17" i="2"/>
  <c r="N29" i="2"/>
  <c r="V36" i="2"/>
  <c r="N42" i="2"/>
  <c r="R45" i="2"/>
  <c r="R15" i="2"/>
  <c r="R33" i="1"/>
  <c r="N42" i="1"/>
  <c r="J16" i="2"/>
  <c r="N19" i="2"/>
  <c r="V30" i="2"/>
  <c r="V31" i="2"/>
  <c r="N37" i="2"/>
  <c r="J49" i="2"/>
  <c r="R19" i="2"/>
  <c r="N36" i="2"/>
  <c r="N33" i="2"/>
  <c r="J21" i="1"/>
  <c r="N36" i="1"/>
  <c r="R16" i="2"/>
  <c r="V20" i="2"/>
  <c r="V21" i="2"/>
  <c r="N32" i="2"/>
  <c r="N47" i="2"/>
  <c r="B56" i="2"/>
  <c r="J33" i="1"/>
  <c r="J45" i="1"/>
  <c r="N28" i="2"/>
  <c r="R48" i="2"/>
  <c r="N20" i="1"/>
  <c r="J31" i="1"/>
  <c r="R36" i="1"/>
  <c r="J43" i="1"/>
  <c r="N45" i="1"/>
  <c r="V15" i="2"/>
  <c r="J42" i="1"/>
  <c r="N44" i="1"/>
  <c r="R47" i="1"/>
  <c r="V50" i="1"/>
  <c r="V34" i="2"/>
  <c r="V35" i="2"/>
  <c r="R23" i="2"/>
  <c r="J17" i="1"/>
  <c r="V37" i="1"/>
  <c r="N43" i="1"/>
  <c r="V32" i="2"/>
  <c r="R44" i="2"/>
  <c r="V48" i="2"/>
  <c r="N17" i="1"/>
  <c r="R20" i="1"/>
  <c r="B63" i="1"/>
  <c r="N31" i="1"/>
  <c r="N32" i="1"/>
  <c r="R18" i="2"/>
  <c r="R28" i="2"/>
  <c r="R32" i="2"/>
  <c r="R36" i="2"/>
  <c r="J50" i="2"/>
  <c r="R21" i="2"/>
  <c r="V29" i="2"/>
  <c r="V33" i="2"/>
  <c r="V37" i="2"/>
  <c r="B69" i="2"/>
  <c r="J42" i="2"/>
  <c r="J43" i="2"/>
  <c r="J44" i="2"/>
  <c r="J45" i="2"/>
  <c r="N49" i="2"/>
  <c r="N50" i="2"/>
  <c r="R31" i="1"/>
  <c r="B70" i="1"/>
  <c r="N48" i="2"/>
  <c r="V18" i="1"/>
  <c r="J22" i="1"/>
  <c r="N24" i="1"/>
  <c r="R28" i="1"/>
  <c r="N41" i="1"/>
  <c r="N44" i="2"/>
  <c r="V30" i="1"/>
  <c r="N40" i="1"/>
  <c r="J28" i="2"/>
  <c r="J29" i="2"/>
  <c r="B63" i="2"/>
  <c r="J31" i="2"/>
  <c r="J32" i="2"/>
  <c r="J33" i="2"/>
  <c r="J34" i="2"/>
  <c r="J35" i="2"/>
  <c r="J36" i="2"/>
  <c r="J37" i="2"/>
  <c r="N40" i="2"/>
  <c r="B69" i="1"/>
  <c r="B70" i="2"/>
  <c r="R30" i="1"/>
  <c r="J18" i="2"/>
  <c r="J19" i="2"/>
  <c r="J20" i="2"/>
  <c r="J21" i="2"/>
  <c r="J24" i="2"/>
  <c r="N27" i="2"/>
  <c r="N31" i="2"/>
  <c r="N35" i="2"/>
  <c r="R40" i="2"/>
  <c r="R43" i="2"/>
  <c r="J34" i="1"/>
  <c r="J49" i="1"/>
  <c r="N20" i="2"/>
  <c r="N24" i="2"/>
  <c r="V44" i="2"/>
  <c r="V46" i="2"/>
  <c r="V47" i="2"/>
  <c r="R35" i="1"/>
  <c r="N18" i="1"/>
  <c r="B62" i="1"/>
  <c r="J29" i="1"/>
  <c r="B61" i="1"/>
  <c r="N33" i="1"/>
  <c r="N34" i="1"/>
  <c r="J46" i="1"/>
  <c r="J47" i="1"/>
  <c r="N49" i="1"/>
  <c r="R29" i="2"/>
  <c r="R33" i="2"/>
  <c r="R37" i="2"/>
  <c r="V40" i="2"/>
  <c r="V42" i="2"/>
  <c r="V43" i="2"/>
  <c r="B55" i="1"/>
  <c r="J18" i="1"/>
  <c r="N22" i="1"/>
  <c r="N23" i="1"/>
  <c r="B56" i="1"/>
  <c r="N19" i="1"/>
  <c r="N21" i="1"/>
  <c r="J17" i="2"/>
  <c r="J23" i="2"/>
  <c r="J22" i="2"/>
  <c r="N23" i="2"/>
  <c r="N18" i="2"/>
  <c r="J23" i="1"/>
  <c r="N22" i="2"/>
  <c r="N15" i="1"/>
  <c r="V21" i="1"/>
  <c r="R22" i="1"/>
  <c r="V24" i="1"/>
  <c r="R16" i="1"/>
  <c r="V22" i="1"/>
  <c r="V31" i="1"/>
  <c r="V34" i="1"/>
  <c r="R45" i="1"/>
  <c r="R46" i="1"/>
  <c r="R49" i="1"/>
  <c r="R42" i="1"/>
  <c r="R34" i="1"/>
  <c r="R23" i="1"/>
  <c r="V23" i="1"/>
  <c r="R15" i="1"/>
  <c r="V20" i="1"/>
  <c r="V15" i="1"/>
  <c r="V16" i="1"/>
  <c r="V17" i="1"/>
  <c r="B61" i="2"/>
  <c r="B60" i="2"/>
  <c r="J30" i="2"/>
  <c r="J41" i="2"/>
  <c r="B62" i="2"/>
  <c r="B53" i="2"/>
  <c r="B67" i="2"/>
  <c r="B54" i="2"/>
  <c r="B68" i="2"/>
  <c r="J15" i="2"/>
  <c r="V41" i="1"/>
  <c r="R50" i="1"/>
  <c r="V45" i="1"/>
  <c r="V49" i="1"/>
  <c r="V35" i="1"/>
  <c r="V36" i="1"/>
  <c r="R27" i="1"/>
  <c r="V32" i="1"/>
  <c r="V29" i="1"/>
  <c r="R37" i="1"/>
  <c r="V33" i="1"/>
  <c r="R40" i="1"/>
  <c r="R44" i="1"/>
  <c r="R48" i="1"/>
  <c r="V40" i="1"/>
  <c r="V44" i="1"/>
  <c r="V48" i="1"/>
  <c r="V42" i="1"/>
  <c r="V46" i="1"/>
  <c r="R17" i="1"/>
  <c r="R18" i="1"/>
  <c r="R21" i="1"/>
  <c r="R19" i="1"/>
  <c r="V19" i="1"/>
  <c r="B60" i="1"/>
  <c r="J15" i="1"/>
  <c r="J30" i="1"/>
  <c r="J41" i="1"/>
  <c r="B53" i="1"/>
  <c r="B67" i="1"/>
  <c r="B54" i="1"/>
  <c r="B68" i="1"/>
  <c r="B64" i="1" l="1"/>
  <c r="B65" i="2"/>
  <c r="B65" i="1"/>
  <c r="B58" i="2"/>
  <c r="B57" i="2"/>
  <c r="B64" i="2"/>
  <c r="B72" i="2"/>
  <c r="B71" i="2"/>
  <c r="B72" i="1"/>
  <c r="B71" i="1"/>
  <c r="B58" i="1"/>
  <c r="B57" i="1"/>
</calcChain>
</file>

<file path=xl/sharedStrings.xml><?xml version="1.0" encoding="utf-8"?>
<sst xmlns="http://schemas.openxmlformats.org/spreadsheetml/2006/main" count="152" uniqueCount="54">
  <si>
    <t>VÉRIFICATION ODOMÉTRIE vs POSITION RÉELLE - ROBOT 3 ROUES</t>
  </si>
  <si>
    <t>PARAMÈTRES DU ROBOT</t>
  </si>
  <si>
    <t>Rayon robot (mm)</t>
  </si>
  <si>
    <t>Diamètre roue (mm)</t>
  </si>
  <si>
    <t>PARCOURS (3 TARGETS)</t>
  </si>
  <si>
    <t>Target</t>
  </si>
  <si>
    <t>X (mm)</t>
  </si>
  <si>
    <t>Y (mm)</t>
  </si>
  <si>
    <t>Θ (rad)</t>
  </si>
  <si>
    <t>Target 1</t>
  </si>
  <si>
    <t>Target 2</t>
  </si>
  <si>
    <t>Target 3</t>
  </si>
  <si>
    <t>TARGET 1 - MESURES (10 essais)</t>
  </si>
  <si>
    <t>Essai</t>
  </si>
  <si>
    <t>X odo (mm)</t>
  </si>
  <si>
    <t>Y odo (mm)</t>
  </si>
  <si>
    <t>Θ odo (rad)</t>
  </si>
  <si>
    <t>X réel (mm)</t>
  </si>
  <si>
    <t>Y réel (mm)</t>
  </si>
  <si>
    <t>Θ réel (rad)</t>
  </si>
  <si>
    <t>ΔX (mm)</t>
  </si>
  <si>
    <t>ΔY (mm)</t>
  </si>
  <si>
    <t>Dist (mm)</t>
  </si>
  <si>
    <t>ΔX_Réel/Odo (mm)</t>
  </si>
  <si>
    <t>ΔΘ (rad)</t>
  </si>
  <si>
    <t>ΔX_Réel/Target (mm)</t>
  </si>
  <si>
    <t>ΔY_Réel/Target (mm)</t>
  </si>
  <si>
    <t>ΔΘ_Réel/Target (rad)</t>
  </si>
  <si>
    <t>Dist_Réel/Target (mm)</t>
  </si>
  <si>
    <t>ΔX_ODO/Target (mm)</t>
  </si>
  <si>
    <t>ΔY_ODO/Target (mm)</t>
  </si>
  <si>
    <t>ΔΘ_ODO/Target (rad)</t>
  </si>
  <si>
    <t>Dist_ODO/Target (mm)</t>
  </si>
  <si>
    <t>TARGET 2 - MESURES (10 essais)</t>
  </si>
  <si>
    <t>TARGET 3 - MESURES (10 essais)</t>
  </si>
  <si>
    <t>STATISTIQUES D'ERREUR ODOMÉTRIQUE</t>
  </si>
  <si>
    <t>TARGET 1 - Erreur ΔX moyenne (mm)</t>
  </si>
  <si>
    <t>TARGET 1 - Erreur ΔY moyenne (mm)</t>
  </si>
  <si>
    <t>TARGET 1 - Écart-type ΔX (mm)</t>
  </si>
  <si>
    <t>TARGET 1 - Écart-type ΔY (mm)</t>
  </si>
  <si>
    <t>TARGET 1 - Distance erreur moyenne (mm)</t>
  </si>
  <si>
    <t>TARGET 1 - Distance erreur max (mm)</t>
  </si>
  <si>
    <t>TARGET 2 - Erreur ΔX moyenne (mm)</t>
  </si>
  <si>
    <t>TARGET 2 - Erreur ΔY moyenne (mm)</t>
  </si>
  <si>
    <t>TARGET 2 - Écart-type ΔX (mm)</t>
  </si>
  <si>
    <t>TARGET 2 - Écart-type ΔY (mm)</t>
  </si>
  <si>
    <t>TARGET 2 - Distance erreur moyenne (mm)</t>
  </si>
  <si>
    <t>TARGET 2 - Distance erreur max (mm)</t>
  </si>
  <si>
    <t>TARGET 3 - Erreur ΔX moyenne (mm)</t>
  </si>
  <si>
    <t>TARGET 3 - Erreur ΔY moyenne (mm)</t>
  </si>
  <si>
    <t>TARGET 3 - Écart-type ΔX (mm)</t>
  </si>
  <si>
    <t>TARGET 3 - Écart-type ΔY (mm)</t>
  </si>
  <si>
    <t>TARGET 3 - Distance erreur moyenne (mm)</t>
  </si>
  <si>
    <t>TARGET 3 - Distance erreur max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</si>
</sst>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Cambria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4" borderId="0" xfId="0" applyFont="1" applyFill="1" applyAlignment="1">
      <alignment horizontal="center" vertical="center"/>
    </xf>
    <xf numFmtId="0" fontId="3" fillId="5" borderId="0" xfId="0" applyFont="1" applyFill="1"/>
    <xf numFmtId="2" fontId="3" fillId="5" borderId="0" xfId="0" applyNumberFormat="1" applyFont="1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opLeftCell="A3" zoomScaleNormal="100" workbookViewId="0">
      <selection activeCell="B15" sqref="B15:G15"/>
    </sheetView>
  </sheetViews>
  <sheetFormatPr baseColWidth="10" defaultColWidth="8.7109375" defaultRowHeight="15" x14ac:dyDescent="0.25"/>
  <cols>
    <col min="1" max="1" width="38" customWidth="1"/>
    <col min="2" max="10" width="13" customWidth="1"/>
    <col min="11" max="22" width="18" customWidth="1"/>
  </cols>
  <sheetData>
    <row r="1" spans="1:22" ht="24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22" ht="15" customHeight="1" x14ac:dyDescent="0.25">
      <c r="A3" s="3" t="s">
        <v>1</v>
      </c>
    </row>
    <row r="4" spans="1:22" ht="15" customHeight="1" x14ac:dyDescent="0.25">
      <c r="A4" s="4" t="s">
        <v>2</v>
      </c>
      <c r="B4" s="5">
        <v>156.9</v>
      </c>
    </row>
    <row r="5" spans="1:22" ht="15" customHeight="1" x14ac:dyDescent="0.25">
      <c r="A5" s="4" t="s">
        <v>3</v>
      </c>
      <c r="B5" s="5">
        <v>60</v>
      </c>
    </row>
    <row r="7" spans="1:22" ht="15" customHeight="1" x14ac:dyDescent="0.25">
      <c r="A7" s="3" t="s">
        <v>4</v>
      </c>
    </row>
    <row r="8" spans="1:22" ht="15" customHeight="1" x14ac:dyDescent="0.25">
      <c r="A8" s="6" t="s">
        <v>5</v>
      </c>
      <c r="B8" s="6" t="s">
        <v>6</v>
      </c>
      <c r="C8" s="6" t="s">
        <v>7</v>
      </c>
      <c r="D8" s="6" t="s">
        <v>8</v>
      </c>
    </row>
    <row r="9" spans="1:22" ht="15" customHeight="1" x14ac:dyDescent="0.25">
      <c r="A9" s="4" t="s">
        <v>9</v>
      </c>
      <c r="B9" s="5"/>
      <c r="C9" s="5"/>
      <c r="D9" s="5"/>
    </row>
    <row r="10" spans="1:22" ht="15" customHeight="1" x14ac:dyDescent="0.25">
      <c r="A10" s="4" t="s">
        <v>10</v>
      </c>
      <c r="B10" s="5"/>
      <c r="C10" s="5"/>
      <c r="D10" s="5"/>
    </row>
    <row r="11" spans="1:22" ht="15" customHeight="1" x14ac:dyDescent="0.25">
      <c r="A11" s="4" t="s">
        <v>11</v>
      </c>
      <c r="B11" s="5"/>
      <c r="C11" s="5"/>
      <c r="D11" s="5"/>
    </row>
    <row r="13" spans="1:22" ht="15" customHeight="1" x14ac:dyDescent="0.25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</row>
    <row r="14" spans="1:22" ht="15" customHeight="1" x14ac:dyDescent="0.25">
      <c r="A14" s="6" t="s">
        <v>13</v>
      </c>
      <c r="B14" s="6" t="s">
        <v>14</v>
      </c>
      <c r="C14" s="6" t="s">
        <v>15</v>
      </c>
      <c r="D14" s="6" t="s">
        <v>16</v>
      </c>
      <c r="E14" s="6" t="s">
        <v>17</v>
      </c>
      <c r="F14" s="6" t="s">
        <v>18</v>
      </c>
      <c r="G14" s="6" t="s">
        <v>19</v>
      </c>
      <c r="H14" s="6" t="s">
        <v>20</v>
      </c>
      <c r="I14" s="6" t="s">
        <v>21</v>
      </c>
      <c r="J14" s="6" t="s">
        <v>22</v>
      </c>
      <c r="K14" s="6" t="s">
        <v>23</v>
      </c>
      <c r="L14" s="6" t="s">
        <v>21</v>
      </c>
      <c r="M14" s="6" t="s">
        <v>24</v>
      </c>
      <c r="N14" s="6" t="s">
        <v>22</v>
      </c>
      <c r="O14" s="6" t="s">
        <v>25</v>
      </c>
      <c r="P14" s="6" t="s">
        <v>26</v>
      </c>
      <c r="Q14" s="6" t="s">
        <v>27</v>
      </c>
      <c r="R14" s="6" t="s">
        <v>28</v>
      </c>
      <c r="S14" s="6" t="s">
        <v>29</v>
      </c>
      <c r="T14" s="6" t="s">
        <v>30</v>
      </c>
      <c r="U14" s="6" t="s">
        <v>31</v>
      </c>
      <c r="V14" s="6" t="s">
        <v>32</v>
      </c>
    </row>
    <row r="15" spans="1:22" ht="15" customHeight="1" x14ac:dyDescent="0.25">
      <c r="A15" s="4">
        <v>1</v>
      </c>
      <c r="B15" s="5"/>
      <c r="C15" s="5"/>
      <c r="D15" s="5"/>
      <c r="E15" s="5"/>
      <c r="F15" s="5"/>
      <c r="G15" s="5"/>
      <c r="H15" s="7">
        <f>B15-E15</f>
        <v>0</v>
      </c>
      <c r="I15" s="7">
        <f>C15-F15</f>
        <v>0</v>
      </c>
      <c r="J15" s="7">
        <f t="shared" ref="J15:J24" si="0">IFERROR(SQRT(H15^2+I15^2),"")</f>
        <v>0</v>
      </c>
      <c r="K15" s="9">
        <f>IFERROR(E15-B15,"")</f>
        <v>0</v>
      </c>
      <c r="L15" s="9">
        <f>IFERROR(F15-C15,"")</f>
        <v>0</v>
      </c>
      <c r="M15" s="9">
        <f>IFERROR(G15-D15,"")</f>
        <v>0</v>
      </c>
      <c r="N15" s="9">
        <f t="shared" ref="N15:N24" si="1">IFERROR(SQRT(K15^2+L15^2),"")</f>
        <v>0</v>
      </c>
      <c r="O15" s="10">
        <f>IFERROR(E15-B9,"")</f>
        <v>0</v>
      </c>
      <c r="P15" s="10">
        <f>IFERROR(F15-C9,"")</f>
        <v>0</v>
      </c>
      <c r="Q15" s="10">
        <f>IFERROR(G15-D9,"")</f>
        <v>0</v>
      </c>
      <c r="R15" s="10">
        <f t="shared" ref="R15:R24" si="2">IFERROR(SQRT(O15^2+P15^2),"")</f>
        <v>0</v>
      </c>
      <c r="S15" s="11">
        <f>IFERROR(B15-B9,"")</f>
        <v>0</v>
      </c>
      <c r="T15" s="11">
        <f>IFERROR(C15-C9,"")</f>
        <v>0</v>
      </c>
      <c r="U15" s="11">
        <f>IFERROR(D15-D9,"")</f>
        <v>0</v>
      </c>
      <c r="V15" s="11">
        <f t="shared" ref="V15:V24" si="3">IFERROR(SQRT(S15^2+T15^2),"")</f>
        <v>0</v>
      </c>
    </row>
    <row r="16" spans="1:22" ht="15" customHeight="1" x14ac:dyDescent="0.25">
      <c r="A16" s="4">
        <v>2</v>
      </c>
      <c r="B16" s="5"/>
      <c r="C16" s="5"/>
      <c r="D16" s="5"/>
      <c r="E16" s="5"/>
      <c r="F16" s="5"/>
      <c r="G16" s="5"/>
      <c r="H16" s="7">
        <f>B16-E16</f>
        <v>0</v>
      </c>
      <c r="I16" s="7">
        <f>C16-F16</f>
        <v>0</v>
      </c>
      <c r="J16" s="7">
        <f t="shared" si="0"/>
        <v>0</v>
      </c>
      <c r="K16" s="9">
        <f>IFERROR(E16-B16,"")</f>
        <v>0</v>
      </c>
      <c r="L16" s="9">
        <f>IFERROR(F16-C16,"")</f>
        <v>0</v>
      </c>
      <c r="M16" s="9">
        <f>IFERROR(G16-D16,"")</f>
        <v>0</v>
      </c>
      <c r="N16" s="9">
        <f t="shared" si="1"/>
        <v>0</v>
      </c>
      <c r="O16" s="10">
        <f>IFERROR(E16-B9,"")</f>
        <v>0</v>
      </c>
      <c r="P16" s="10">
        <f>IFERROR(F16-C9,"")</f>
        <v>0</v>
      </c>
      <c r="Q16" s="10">
        <f>IFERROR(G16-D9,"")</f>
        <v>0</v>
      </c>
      <c r="R16" s="10">
        <f t="shared" si="2"/>
        <v>0</v>
      </c>
      <c r="S16" s="11">
        <f>IFERROR(B16-B9,"")</f>
        <v>0</v>
      </c>
      <c r="T16" s="11">
        <f>IFERROR(C16-C9,"")</f>
        <v>0</v>
      </c>
      <c r="U16" s="11">
        <f>IFERROR(D16-D9,"")</f>
        <v>0</v>
      </c>
      <c r="V16" s="11">
        <f t="shared" si="3"/>
        <v>0</v>
      </c>
    </row>
    <row r="17" spans="1:22" ht="15" customHeight="1" x14ac:dyDescent="0.25">
      <c r="A17" s="4">
        <v>3</v>
      </c>
      <c r="B17" s="5"/>
      <c r="C17" s="5"/>
      <c r="D17" s="5"/>
      <c r="E17" s="5"/>
      <c r="F17" s="5"/>
      <c r="G17" s="5"/>
      <c r="H17" s="7">
        <f>B17-E17</f>
        <v>0</v>
      </c>
      <c r="I17" s="7">
        <f>C17-F17</f>
        <v>0</v>
      </c>
      <c r="J17" s="7">
        <f t="shared" si="0"/>
        <v>0</v>
      </c>
      <c r="K17" s="9">
        <f>IFERROR(E17-B17,"")</f>
        <v>0</v>
      </c>
      <c r="L17" s="9">
        <f>IFERROR(F17-C17,"")</f>
        <v>0</v>
      </c>
      <c r="M17" s="9">
        <f>IFERROR(G17-D17,"")</f>
        <v>0</v>
      </c>
      <c r="N17" s="9">
        <f t="shared" si="1"/>
        <v>0</v>
      </c>
      <c r="O17" s="10">
        <f>IFERROR(E17-B9,"")</f>
        <v>0</v>
      </c>
      <c r="P17" s="10">
        <f>IFERROR(F17-C9,"")</f>
        <v>0</v>
      </c>
      <c r="Q17" s="10">
        <f>IFERROR(G17-D9,"")</f>
        <v>0</v>
      </c>
      <c r="R17" s="10">
        <f t="shared" si="2"/>
        <v>0</v>
      </c>
      <c r="S17" s="11">
        <f>IFERROR(B17-B9,"")</f>
        <v>0</v>
      </c>
      <c r="T17" s="11">
        <f>IFERROR(C17-C9,"")</f>
        <v>0</v>
      </c>
      <c r="U17" s="11">
        <f>IFERROR(D17-D9,"")</f>
        <v>0</v>
      </c>
      <c r="V17" s="11">
        <f t="shared" si="3"/>
        <v>0</v>
      </c>
    </row>
    <row r="18" spans="1:22" ht="15" customHeight="1" x14ac:dyDescent="0.25">
      <c r="A18" s="4">
        <v>4</v>
      </c>
      <c r="B18" s="5"/>
      <c r="C18" s="5"/>
      <c r="D18" s="5"/>
      <c r="E18" s="5"/>
      <c r="F18" s="5"/>
      <c r="G18" s="5"/>
      <c r="H18" s="7">
        <f>B18-E18</f>
        <v>0</v>
      </c>
      <c r="I18" s="7">
        <f>C18-F18</f>
        <v>0</v>
      </c>
      <c r="J18" s="7">
        <f t="shared" si="0"/>
        <v>0</v>
      </c>
      <c r="K18" s="9">
        <f>IFERROR(E18-B18,"")</f>
        <v>0</v>
      </c>
      <c r="L18" s="9">
        <f>IFERROR(F18-C18,"")</f>
        <v>0</v>
      </c>
      <c r="M18" s="9">
        <f>IFERROR(G18-D18,"")</f>
        <v>0</v>
      </c>
      <c r="N18" s="9">
        <f t="shared" si="1"/>
        <v>0</v>
      </c>
      <c r="O18" s="10">
        <f>IFERROR(E18-B9,"")</f>
        <v>0</v>
      </c>
      <c r="P18" s="10">
        <f>IFERROR(F18-C9,"")</f>
        <v>0</v>
      </c>
      <c r="Q18" s="10">
        <f>IFERROR(G18-D9,"")</f>
        <v>0</v>
      </c>
      <c r="R18" s="10">
        <f t="shared" si="2"/>
        <v>0</v>
      </c>
      <c r="S18" s="11">
        <f>IFERROR(B18-B9,"")</f>
        <v>0</v>
      </c>
      <c r="T18" s="11">
        <f>IFERROR(C18-C9,"")</f>
        <v>0</v>
      </c>
      <c r="U18" s="11">
        <f>IFERROR(D18-D9,"")</f>
        <v>0</v>
      </c>
      <c r="V18" s="11">
        <f t="shared" si="3"/>
        <v>0</v>
      </c>
    </row>
    <row r="19" spans="1:22" ht="15" customHeight="1" x14ac:dyDescent="0.25">
      <c r="A19" s="4">
        <v>5</v>
      </c>
      <c r="B19" s="5"/>
      <c r="C19" s="5"/>
      <c r="D19" s="5"/>
      <c r="E19" s="5"/>
      <c r="F19" s="5"/>
      <c r="G19" s="5"/>
      <c r="H19" s="7">
        <f>B19-E19</f>
        <v>0</v>
      </c>
      <c r="I19" s="7">
        <f>C19-F19</f>
        <v>0</v>
      </c>
      <c r="J19" s="7">
        <f t="shared" si="0"/>
        <v>0</v>
      </c>
      <c r="K19" s="9">
        <f>IFERROR(E19-B19,"")</f>
        <v>0</v>
      </c>
      <c r="L19" s="9">
        <f>IFERROR(F19-C19,"")</f>
        <v>0</v>
      </c>
      <c r="M19" s="9">
        <f>IFERROR(G19-D19,"")</f>
        <v>0</v>
      </c>
      <c r="N19" s="9">
        <f t="shared" si="1"/>
        <v>0</v>
      </c>
      <c r="O19" s="10">
        <f>IFERROR(E19-B9,"")</f>
        <v>0</v>
      </c>
      <c r="P19" s="10">
        <f>IFERROR(F19-C9,"")</f>
        <v>0</v>
      </c>
      <c r="Q19" s="10">
        <f>IFERROR(G19-D9,"")</f>
        <v>0</v>
      </c>
      <c r="R19" s="10">
        <f t="shared" si="2"/>
        <v>0</v>
      </c>
      <c r="S19" s="11">
        <f>IFERROR(B19-B9,"")</f>
        <v>0</v>
      </c>
      <c r="T19" s="11">
        <f>IFERROR(C19-C9,"")</f>
        <v>0</v>
      </c>
      <c r="U19" s="11">
        <f>IFERROR(D19-D9,"")</f>
        <v>0</v>
      </c>
      <c r="V19" s="11">
        <f t="shared" si="3"/>
        <v>0</v>
      </c>
    </row>
    <row r="20" spans="1:22" ht="15" customHeight="1" x14ac:dyDescent="0.25">
      <c r="A20" s="4">
        <v>6</v>
      </c>
      <c r="B20" s="5"/>
      <c r="C20" s="5"/>
      <c r="D20" s="5"/>
      <c r="E20" s="5"/>
      <c r="F20" s="5"/>
      <c r="G20" s="5"/>
      <c r="H20" s="7">
        <f>B20-E20</f>
        <v>0</v>
      </c>
      <c r="I20" s="7">
        <f>C20-F20</f>
        <v>0</v>
      </c>
      <c r="J20" s="7">
        <f t="shared" si="0"/>
        <v>0</v>
      </c>
      <c r="K20" s="9">
        <f>IFERROR(E20-B20,"")</f>
        <v>0</v>
      </c>
      <c r="L20" s="9">
        <f>IFERROR(F20-C20,"")</f>
        <v>0</v>
      </c>
      <c r="M20" s="9">
        <f>IFERROR(G20-D20,"")</f>
        <v>0</v>
      </c>
      <c r="N20" s="9">
        <f t="shared" si="1"/>
        <v>0</v>
      </c>
      <c r="O20" s="10">
        <f>IFERROR(E20-B9,"")</f>
        <v>0</v>
      </c>
      <c r="P20" s="10">
        <f>IFERROR(F20-C9,"")</f>
        <v>0</v>
      </c>
      <c r="Q20" s="10">
        <f>IFERROR(G20-D9,"")</f>
        <v>0</v>
      </c>
      <c r="R20" s="10">
        <f t="shared" si="2"/>
        <v>0</v>
      </c>
      <c r="S20" s="11">
        <f>IFERROR(B20-B9,"")</f>
        <v>0</v>
      </c>
      <c r="T20" s="11">
        <f>IFERROR(C20-C9,"")</f>
        <v>0</v>
      </c>
      <c r="U20" s="11">
        <f>IFERROR(D20-D9,"")</f>
        <v>0</v>
      </c>
      <c r="V20" s="11">
        <f t="shared" si="3"/>
        <v>0</v>
      </c>
    </row>
    <row r="21" spans="1:22" ht="15" customHeight="1" x14ac:dyDescent="0.25">
      <c r="A21" s="4">
        <v>7</v>
      </c>
      <c r="B21" s="5"/>
      <c r="C21" s="5"/>
      <c r="D21" s="5"/>
      <c r="E21" s="5"/>
      <c r="F21" s="5"/>
      <c r="G21" s="5"/>
      <c r="H21" s="7">
        <f>B21-E21</f>
        <v>0</v>
      </c>
      <c r="I21" s="7">
        <f>C21-F21</f>
        <v>0</v>
      </c>
      <c r="J21" s="7">
        <f t="shared" si="0"/>
        <v>0</v>
      </c>
      <c r="K21" s="9">
        <f>IFERROR(E21-B21,"")</f>
        <v>0</v>
      </c>
      <c r="L21" s="9">
        <f>IFERROR(F21-C21,"")</f>
        <v>0</v>
      </c>
      <c r="M21" s="9">
        <f>IFERROR(G21-D21,"")</f>
        <v>0</v>
      </c>
      <c r="N21" s="9">
        <f t="shared" si="1"/>
        <v>0</v>
      </c>
      <c r="O21" s="10">
        <f>IFERROR(E21-B9,"")</f>
        <v>0</v>
      </c>
      <c r="P21" s="10">
        <f>IFERROR(F21-C9,"")</f>
        <v>0</v>
      </c>
      <c r="Q21" s="10">
        <f>IFERROR(G21-D9,"")</f>
        <v>0</v>
      </c>
      <c r="R21" s="10">
        <f t="shared" si="2"/>
        <v>0</v>
      </c>
      <c r="S21" s="11">
        <f>IFERROR(B21-B9,"")</f>
        <v>0</v>
      </c>
      <c r="T21" s="11">
        <f>IFERROR(C21-C9,"")</f>
        <v>0</v>
      </c>
      <c r="U21" s="11">
        <f>IFERROR(D21-D9,"")</f>
        <v>0</v>
      </c>
      <c r="V21" s="11">
        <f t="shared" si="3"/>
        <v>0</v>
      </c>
    </row>
    <row r="22" spans="1:22" ht="15" customHeight="1" x14ac:dyDescent="0.25">
      <c r="A22" s="4">
        <v>8</v>
      </c>
      <c r="B22" s="5"/>
      <c r="C22" s="5"/>
      <c r="D22" s="5"/>
      <c r="E22" s="5"/>
      <c r="F22" s="5"/>
      <c r="G22" s="5"/>
      <c r="H22" s="7">
        <f>B22-E22</f>
        <v>0</v>
      </c>
      <c r="I22" s="7">
        <f>C22-F22</f>
        <v>0</v>
      </c>
      <c r="J22" s="7">
        <f t="shared" si="0"/>
        <v>0</v>
      </c>
      <c r="K22" s="9">
        <f>IFERROR(E22-B22,"")</f>
        <v>0</v>
      </c>
      <c r="L22" s="9">
        <f>IFERROR(F22-C22,"")</f>
        <v>0</v>
      </c>
      <c r="M22" s="9">
        <f>IFERROR(G22-D22,"")</f>
        <v>0</v>
      </c>
      <c r="N22" s="9">
        <f t="shared" si="1"/>
        <v>0</v>
      </c>
      <c r="O22" s="10">
        <f>IFERROR(E22-B9,"")</f>
        <v>0</v>
      </c>
      <c r="P22" s="10">
        <f>IFERROR(F22-C9,"")</f>
        <v>0</v>
      </c>
      <c r="Q22" s="10">
        <f>IFERROR(G22-D9,"")</f>
        <v>0</v>
      </c>
      <c r="R22" s="10">
        <f t="shared" si="2"/>
        <v>0</v>
      </c>
      <c r="S22" s="11">
        <f>IFERROR(B22-B9,"")</f>
        <v>0</v>
      </c>
      <c r="T22" s="11">
        <f>IFERROR(C22-C9,"")</f>
        <v>0</v>
      </c>
      <c r="U22" s="11">
        <f>IFERROR(D22-D9,"")</f>
        <v>0</v>
      </c>
      <c r="V22" s="11">
        <f t="shared" si="3"/>
        <v>0</v>
      </c>
    </row>
    <row r="23" spans="1:22" ht="15" customHeight="1" x14ac:dyDescent="0.25">
      <c r="A23" s="4">
        <v>9</v>
      </c>
      <c r="B23" s="5"/>
      <c r="C23" s="5"/>
      <c r="D23" s="5"/>
      <c r="E23" s="5"/>
      <c r="F23" s="5"/>
      <c r="G23" s="5"/>
      <c r="H23" s="7">
        <f>B23-E23</f>
        <v>0</v>
      </c>
      <c r="I23" s="7">
        <f>C23-F23</f>
        <v>0</v>
      </c>
      <c r="J23" s="7">
        <f t="shared" si="0"/>
        <v>0</v>
      </c>
      <c r="K23" s="9">
        <f>IFERROR(E23-B23,"")</f>
        <v>0</v>
      </c>
      <c r="L23" s="9">
        <f>IFERROR(F23-C23,"")</f>
        <v>0</v>
      </c>
      <c r="M23" s="9">
        <f>IFERROR(G23-D23,"")</f>
        <v>0</v>
      </c>
      <c r="N23" s="9">
        <f t="shared" si="1"/>
        <v>0</v>
      </c>
      <c r="O23" s="10">
        <f>IFERROR(E23-B9,"")</f>
        <v>0</v>
      </c>
      <c r="P23" s="10">
        <f>IFERROR(F23-C9,"")</f>
        <v>0</v>
      </c>
      <c r="Q23" s="10">
        <f>IFERROR(G23-D9,"")</f>
        <v>0</v>
      </c>
      <c r="R23" s="10">
        <f t="shared" si="2"/>
        <v>0</v>
      </c>
      <c r="S23" s="11">
        <f>IFERROR(B23-B9,"")</f>
        <v>0</v>
      </c>
      <c r="T23" s="11">
        <f>IFERROR(C23-C9,"")</f>
        <v>0</v>
      </c>
      <c r="U23" s="11">
        <f>IFERROR(D23-D9,"")</f>
        <v>0</v>
      </c>
      <c r="V23" s="11">
        <f t="shared" si="3"/>
        <v>0</v>
      </c>
    </row>
    <row r="24" spans="1:22" ht="15" customHeight="1" x14ac:dyDescent="0.25">
      <c r="A24" s="4">
        <v>10</v>
      </c>
      <c r="B24" s="5"/>
      <c r="C24" s="5"/>
      <c r="D24" s="5"/>
      <c r="E24" s="5"/>
      <c r="F24" s="5"/>
      <c r="G24" s="5"/>
      <c r="H24" s="7">
        <f>B24-E24</f>
        <v>0</v>
      </c>
      <c r="I24" s="7">
        <f>C24-F24</f>
        <v>0</v>
      </c>
      <c r="J24" s="7">
        <f t="shared" si="0"/>
        <v>0</v>
      </c>
      <c r="K24" s="9">
        <f>IFERROR(E24-B24,"")</f>
        <v>0</v>
      </c>
      <c r="L24" s="9">
        <f>IFERROR(F24-C24,"")</f>
        <v>0</v>
      </c>
      <c r="M24" s="9">
        <f>IFERROR(G24-D24,"")</f>
        <v>0</v>
      </c>
      <c r="N24" s="9">
        <f t="shared" si="1"/>
        <v>0</v>
      </c>
      <c r="O24" s="10">
        <f>IFERROR(E24-B9,"")</f>
        <v>0</v>
      </c>
      <c r="P24" s="10">
        <f>IFERROR(F24-C9,"")</f>
        <v>0</v>
      </c>
      <c r="Q24" s="10">
        <f>IFERROR(G24-D9,"")</f>
        <v>0</v>
      </c>
      <c r="R24" s="10">
        <f t="shared" si="2"/>
        <v>0</v>
      </c>
      <c r="S24" s="11">
        <f>IFERROR(B24-B9,"")</f>
        <v>0</v>
      </c>
      <c r="T24" s="11">
        <f>IFERROR(C24-C9,"")</f>
        <v>0</v>
      </c>
      <c r="U24" s="11">
        <f>IFERROR(D24-D9,"")</f>
        <v>0</v>
      </c>
      <c r="V24" s="11">
        <f t="shared" si="3"/>
        <v>0</v>
      </c>
    </row>
    <row r="26" spans="1:22" ht="15" customHeight="1" x14ac:dyDescent="0.25">
      <c r="A26" s="1" t="s">
        <v>33</v>
      </c>
      <c r="B26" s="1"/>
      <c r="C26" s="1"/>
      <c r="D26" s="1"/>
      <c r="E26" s="1"/>
      <c r="F26" s="1"/>
      <c r="G26" s="1"/>
      <c r="H26" s="1"/>
      <c r="I26" s="1"/>
      <c r="J26" s="1"/>
    </row>
    <row r="27" spans="1:22" ht="15" customHeight="1" x14ac:dyDescent="0.25">
      <c r="A27" s="6" t="s">
        <v>13</v>
      </c>
      <c r="B27" s="6" t="s">
        <v>14</v>
      </c>
      <c r="C27" s="6" t="s">
        <v>15</v>
      </c>
      <c r="D27" s="6" t="s">
        <v>16</v>
      </c>
      <c r="E27" s="6" t="s">
        <v>17</v>
      </c>
      <c r="F27" s="6" t="s">
        <v>18</v>
      </c>
      <c r="G27" s="6" t="s">
        <v>19</v>
      </c>
      <c r="H27" s="6" t="s">
        <v>20</v>
      </c>
      <c r="I27" s="6" t="s">
        <v>21</v>
      </c>
      <c r="J27" s="6" t="s">
        <v>22</v>
      </c>
      <c r="K27" t="str">
        <f>IFERROR(E27-B27,"")</f>
        <v/>
      </c>
      <c r="L27" t="str">
        <f>IFERROR(F27-C27,"")</f>
        <v/>
      </c>
      <c r="M27" t="str">
        <f>IFERROR(G27-D27,"")</f>
        <v/>
      </c>
      <c r="N27" t="str">
        <f>IFERROR(SQRT(K27^2+L27^2),"")</f>
        <v/>
      </c>
      <c r="O27" t="str">
        <f>IFERROR(E27-B10,"")</f>
        <v/>
      </c>
      <c r="P27" t="str">
        <f>IFERROR(F27-C10,"")</f>
        <v/>
      </c>
      <c r="Q27" t="str">
        <f>IFERROR(G27-D10,"")</f>
        <v/>
      </c>
      <c r="R27" t="str">
        <f>IFERROR(SQRT(O27^2+P27^2),"")</f>
        <v/>
      </c>
      <c r="S27" t="str">
        <f>IFERROR(B27-B10,"")</f>
        <v/>
      </c>
      <c r="T27" t="str">
        <f>IFERROR(C27-C10,"")</f>
        <v/>
      </c>
      <c r="U27" t="str">
        <f>IFERROR(D27-D10,"")</f>
        <v/>
      </c>
      <c r="V27" t="str">
        <f>IFERROR(SQRT(S27^2+T27^2),"")</f>
        <v/>
      </c>
    </row>
    <row r="28" spans="1:22" ht="15" customHeight="1" x14ac:dyDescent="0.25">
      <c r="A28" s="4">
        <v>1</v>
      </c>
      <c r="B28" s="5"/>
      <c r="C28" s="5"/>
      <c r="D28" s="5"/>
      <c r="E28" s="5"/>
      <c r="F28" s="5"/>
      <c r="G28" s="5"/>
      <c r="H28" s="7">
        <f t="shared" ref="H28:H37" si="4">B28-E28</f>
        <v>0</v>
      </c>
      <c r="I28" s="7">
        <f t="shared" ref="I28:I37" si="5">C28-F28</f>
        <v>0</v>
      </c>
      <c r="J28" s="7">
        <f t="shared" ref="J28:J37" si="6">IFERROR(SQRT(H28^2+I28^2),"")</f>
        <v>0</v>
      </c>
      <c r="K28" s="9">
        <f>IFERROR(E28-B28,"")</f>
        <v>0</v>
      </c>
      <c r="L28" s="9">
        <f>IFERROR(F28-C28,"")</f>
        <v>0</v>
      </c>
      <c r="M28" s="9">
        <f>IFERROR(G28-D28,"")</f>
        <v>0</v>
      </c>
      <c r="N28" s="9">
        <f>IFERROR(SQRT(K28^2+L28^2),"")</f>
        <v>0</v>
      </c>
      <c r="O28" s="10">
        <f>IFERROR(E28-B10,"")</f>
        <v>0</v>
      </c>
      <c r="P28" s="10">
        <f>IFERROR(F28-C10,"")</f>
        <v>0</v>
      </c>
      <c r="Q28" s="10">
        <f>IFERROR(G28-D10,"")</f>
        <v>0</v>
      </c>
      <c r="R28" s="10">
        <f>IFERROR(SQRT(O28^2+P28^2),"")</f>
        <v>0</v>
      </c>
      <c r="S28" s="11">
        <f>IFERROR(B28-B10,"")</f>
        <v>0</v>
      </c>
      <c r="T28" s="11">
        <f>IFERROR(C28-C10,"")</f>
        <v>0</v>
      </c>
      <c r="U28" s="11">
        <f>IFERROR(D28-D10,"")</f>
        <v>0</v>
      </c>
      <c r="V28" s="11">
        <f>IFERROR(SQRT(S28^2+T28^2),"")</f>
        <v>0</v>
      </c>
    </row>
    <row r="29" spans="1:22" ht="15" customHeight="1" x14ac:dyDescent="0.25">
      <c r="A29" s="4">
        <v>2</v>
      </c>
      <c r="B29" s="5"/>
      <c r="C29" s="5"/>
      <c r="D29" s="5"/>
      <c r="E29" s="5"/>
      <c r="F29" s="5"/>
      <c r="G29" s="5"/>
      <c r="H29" s="7">
        <f t="shared" si="4"/>
        <v>0</v>
      </c>
      <c r="I29" s="7">
        <f t="shared" si="5"/>
        <v>0</v>
      </c>
      <c r="J29" s="7">
        <f t="shared" si="6"/>
        <v>0</v>
      </c>
      <c r="K29" s="9">
        <f>IFERROR(E29-B29,"")</f>
        <v>0</v>
      </c>
      <c r="L29" s="9">
        <f>IFERROR(F29-C29,"")</f>
        <v>0</v>
      </c>
      <c r="M29" s="9">
        <f>IFERROR(G29-D29,"")</f>
        <v>0</v>
      </c>
      <c r="N29" s="9">
        <f>IFERROR(SQRT(K29^2+L29^2),"")</f>
        <v>0</v>
      </c>
      <c r="O29" s="10">
        <f>IFERROR(E29-B10,"")</f>
        <v>0</v>
      </c>
      <c r="P29" s="10">
        <f>IFERROR(F29-C10,"")</f>
        <v>0</v>
      </c>
      <c r="Q29" s="10">
        <f>IFERROR(G29-D10,"")</f>
        <v>0</v>
      </c>
      <c r="R29" s="10">
        <f>IFERROR(SQRT(O29^2+P29^2),"")</f>
        <v>0</v>
      </c>
      <c r="S29" s="11">
        <f>IFERROR(B29-B10,"")</f>
        <v>0</v>
      </c>
      <c r="T29" s="11">
        <f>IFERROR(C29-C10,"")</f>
        <v>0</v>
      </c>
      <c r="U29" s="11">
        <f>IFERROR(D29-D10,"")</f>
        <v>0</v>
      </c>
      <c r="V29" s="11">
        <f>IFERROR(SQRT(S29^2+T29^2),"")</f>
        <v>0</v>
      </c>
    </row>
    <row r="30" spans="1:22" ht="15" customHeight="1" x14ac:dyDescent="0.25">
      <c r="A30" s="4">
        <v>3</v>
      </c>
      <c r="B30" s="5"/>
      <c r="C30" s="5"/>
      <c r="D30" s="5"/>
      <c r="E30" s="5"/>
      <c r="F30" s="5"/>
      <c r="G30" s="5"/>
      <c r="H30" s="7">
        <f t="shared" si="4"/>
        <v>0</v>
      </c>
      <c r="I30" s="7">
        <f t="shared" si="5"/>
        <v>0</v>
      </c>
      <c r="J30" s="7">
        <f t="shared" si="6"/>
        <v>0</v>
      </c>
      <c r="K30" s="9">
        <f>IFERROR(E30-B30,"")</f>
        <v>0</v>
      </c>
      <c r="L30" s="9">
        <f>IFERROR(F30-C30,"")</f>
        <v>0</v>
      </c>
      <c r="M30" s="9">
        <f>IFERROR(G30-D30,"")</f>
        <v>0</v>
      </c>
      <c r="N30" s="9">
        <f>IFERROR(SQRT(K30^2+L30^2),"")</f>
        <v>0</v>
      </c>
      <c r="O30" s="10">
        <f>IFERROR(E30-B10,"")</f>
        <v>0</v>
      </c>
      <c r="P30" s="10">
        <f>IFERROR(F30-C10,"")</f>
        <v>0</v>
      </c>
      <c r="Q30" s="10">
        <f>IFERROR(G30-D10,"")</f>
        <v>0</v>
      </c>
      <c r="R30" s="10">
        <f>IFERROR(SQRT(O30^2+P30^2),"")</f>
        <v>0</v>
      </c>
      <c r="S30" s="11">
        <f>IFERROR(B30-B10,"")</f>
        <v>0</v>
      </c>
      <c r="T30" s="11">
        <f>IFERROR(C30-C10,"")</f>
        <v>0</v>
      </c>
      <c r="U30" s="11">
        <f>IFERROR(D30-D10,"")</f>
        <v>0</v>
      </c>
      <c r="V30" s="11">
        <f>IFERROR(SQRT(S30^2+T30^2),"")</f>
        <v>0</v>
      </c>
    </row>
    <row r="31" spans="1:22" ht="15" customHeight="1" x14ac:dyDescent="0.25">
      <c r="A31" s="4">
        <v>4</v>
      </c>
      <c r="B31" s="5"/>
      <c r="C31" s="5"/>
      <c r="D31" s="5"/>
      <c r="E31" s="5"/>
      <c r="F31" s="5"/>
      <c r="G31" s="5"/>
      <c r="H31" s="7">
        <f t="shared" si="4"/>
        <v>0</v>
      </c>
      <c r="I31" s="7">
        <f t="shared" si="5"/>
        <v>0</v>
      </c>
      <c r="J31" s="7">
        <f t="shared" si="6"/>
        <v>0</v>
      </c>
      <c r="K31" s="9">
        <f>IFERROR(E31-B31,"")</f>
        <v>0</v>
      </c>
      <c r="L31" s="9">
        <f>IFERROR(F31-C31,"")</f>
        <v>0</v>
      </c>
      <c r="M31" s="9">
        <f>IFERROR(G31-D31,"")</f>
        <v>0</v>
      </c>
      <c r="N31" s="9">
        <f>IFERROR(SQRT(K31^2+L31^2),"")</f>
        <v>0</v>
      </c>
      <c r="O31" s="10">
        <f>IFERROR(E31-B10,"")</f>
        <v>0</v>
      </c>
      <c r="P31" s="10">
        <f>IFERROR(F31-C10,"")</f>
        <v>0</v>
      </c>
      <c r="Q31" s="10">
        <f>IFERROR(G31-D10,"")</f>
        <v>0</v>
      </c>
      <c r="R31" s="10">
        <f>IFERROR(SQRT(O31^2+P31^2),"")</f>
        <v>0</v>
      </c>
      <c r="S31" s="11">
        <f>IFERROR(B31-B10,"")</f>
        <v>0</v>
      </c>
      <c r="T31" s="11">
        <f>IFERROR(C31-C10,"")</f>
        <v>0</v>
      </c>
      <c r="U31" s="11">
        <f>IFERROR(D31-D10,"")</f>
        <v>0</v>
      </c>
      <c r="V31" s="11">
        <f>IFERROR(SQRT(S31^2+T31^2),"")</f>
        <v>0</v>
      </c>
    </row>
    <row r="32" spans="1:22" ht="15" customHeight="1" x14ac:dyDescent="0.25">
      <c r="A32" s="4">
        <v>5</v>
      </c>
      <c r="B32" s="5"/>
      <c r="C32" s="5"/>
      <c r="D32" s="5"/>
      <c r="E32" s="5"/>
      <c r="F32" s="5"/>
      <c r="G32" s="5"/>
      <c r="H32" s="7">
        <f t="shared" si="4"/>
        <v>0</v>
      </c>
      <c r="I32" s="7">
        <f t="shared" si="5"/>
        <v>0</v>
      </c>
      <c r="J32" s="7">
        <f t="shared" si="6"/>
        <v>0</v>
      </c>
      <c r="K32" s="9">
        <f>IFERROR(E32-B32,"")</f>
        <v>0</v>
      </c>
      <c r="L32" s="9">
        <f>IFERROR(F32-C32,"")</f>
        <v>0</v>
      </c>
      <c r="M32" s="9">
        <f>IFERROR(G32-D32,"")</f>
        <v>0</v>
      </c>
      <c r="N32" s="9">
        <f>IFERROR(SQRT(K32^2+L32^2),"")</f>
        <v>0</v>
      </c>
      <c r="O32" s="10">
        <f>IFERROR(E32-B10,"")</f>
        <v>0</v>
      </c>
      <c r="P32" s="10">
        <f>IFERROR(F32-C10,"")</f>
        <v>0</v>
      </c>
      <c r="Q32" s="10">
        <f>IFERROR(G32-D10,"")</f>
        <v>0</v>
      </c>
      <c r="R32" s="10">
        <f>IFERROR(SQRT(O32^2+P32^2),"")</f>
        <v>0</v>
      </c>
      <c r="S32" s="11">
        <f>IFERROR(B32-B10,"")</f>
        <v>0</v>
      </c>
      <c r="T32" s="11">
        <f>IFERROR(C32-C10,"")</f>
        <v>0</v>
      </c>
      <c r="U32" s="11">
        <f>IFERROR(D32-D10,"")</f>
        <v>0</v>
      </c>
      <c r="V32" s="11">
        <f>IFERROR(SQRT(S32^2+T32^2),"")</f>
        <v>0</v>
      </c>
    </row>
    <row r="33" spans="1:22" ht="15" customHeight="1" x14ac:dyDescent="0.25">
      <c r="A33" s="4">
        <v>6</v>
      </c>
      <c r="B33" s="5"/>
      <c r="C33" s="5"/>
      <c r="D33" s="5"/>
      <c r="E33" s="5"/>
      <c r="F33" s="5"/>
      <c r="G33" s="5"/>
      <c r="H33" s="7">
        <f t="shared" si="4"/>
        <v>0</v>
      </c>
      <c r="I33" s="7">
        <f t="shared" si="5"/>
        <v>0</v>
      </c>
      <c r="J33" s="7">
        <f t="shared" si="6"/>
        <v>0</v>
      </c>
      <c r="K33" s="9">
        <f>IFERROR(E33-B33,"")</f>
        <v>0</v>
      </c>
      <c r="L33" s="9">
        <f>IFERROR(F33-C33,"")</f>
        <v>0</v>
      </c>
      <c r="M33" s="9">
        <f>IFERROR(G33-D33,"")</f>
        <v>0</v>
      </c>
      <c r="N33" s="9">
        <f>IFERROR(SQRT(K33^2+L33^2),"")</f>
        <v>0</v>
      </c>
      <c r="O33" s="10">
        <f>IFERROR(E33-B10,"")</f>
        <v>0</v>
      </c>
      <c r="P33" s="10">
        <f>IFERROR(F33-C10,"")</f>
        <v>0</v>
      </c>
      <c r="Q33" s="10">
        <f>IFERROR(G33-D10,"")</f>
        <v>0</v>
      </c>
      <c r="R33" s="10">
        <f>IFERROR(SQRT(O33^2+P33^2),"")</f>
        <v>0</v>
      </c>
      <c r="S33" s="11">
        <f>IFERROR(B33-B10,"")</f>
        <v>0</v>
      </c>
      <c r="T33" s="11">
        <f>IFERROR(C33-C10,"")</f>
        <v>0</v>
      </c>
      <c r="U33" s="11">
        <f>IFERROR(D33-D10,"")</f>
        <v>0</v>
      </c>
      <c r="V33" s="11">
        <f>IFERROR(SQRT(S33^2+T33^2),"")</f>
        <v>0</v>
      </c>
    </row>
    <row r="34" spans="1:22" ht="15" customHeight="1" x14ac:dyDescent="0.25">
      <c r="A34" s="4">
        <v>7</v>
      </c>
      <c r="B34" s="5"/>
      <c r="C34" s="5"/>
      <c r="D34" s="5"/>
      <c r="E34" s="5"/>
      <c r="F34" s="5"/>
      <c r="G34" s="5"/>
      <c r="H34" s="7">
        <f t="shared" si="4"/>
        <v>0</v>
      </c>
      <c r="I34" s="7">
        <f t="shared" si="5"/>
        <v>0</v>
      </c>
      <c r="J34" s="7">
        <f t="shared" si="6"/>
        <v>0</v>
      </c>
      <c r="K34" s="9">
        <f>IFERROR(E34-B34,"")</f>
        <v>0</v>
      </c>
      <c r="L34" s="9">
        <f>IFERROR(F34-C34,"")</f>
        <v>0</v>
      </c>
      <c r="M34" s="9">
        <f>IFERROR(G34-D34,"")</f>
        <v>0</v>
      </c>
      <c r="N34" s="9">
        <f>IFERROR(SQRT(K34^2+L34^2),"")</f>
        <v>0</v>
      </c>
      <c r="O34" s="10">
        <f>IFERROR(E34-B10,"")</f>
        <v>0</v>
      </c>
      <c r="P34" s="10">
        <f>IFERROR(F34-C10,"")</f>
        <v>0</v>
      </c>
      <c r="Q34" s="10">
        <f>IFERROR(G34-D10,"")</f>
        <v>0</v>
      </c>
      <c r="R34" s="10">
        <f>IFERROR(SQRT(O34^2+P34^2),"")</f>
        <v>0</v>
      </c>
      <c r="S34" s="11">
        <f>IFERROR(B34-B10,"")</f>
        <v>0</v>
      </c>
      <c r="T34" s="11">
        <f>IFERROR(C34-C10,"")</f>
        <v>0</v>
      </c>
      <c r="U34" s="11">
        <f>IFERROR(D34-D10,"")</f>
        <v>0</v>
      </c>
      <c r="V34" s="11">
        <f>IFERROR(SQRT(S34^2+T34^2),"")</f>
        <v>0</v>
      </c>
    </row>
    <row r="35" spans="1:22" ht="15" customHeight="1" x14ac:dyDescent="0.25">
      <c r="A35" s="4">
        <v>8</v>
      </c>
      <c r="B35" s="5"/>
      <c r="C35" s="5"/>
      <c r="D35" s="5"/>
      <c r="E35" s="5"/>
      <c r="F35" s="5"/>
      <c r="G35" s="5"/>
      <c r="H35" s="7">
        <f t="shared" si="4"/>
        <v>0</v>
      </c>
      <c r="I35" s="7">
        <f t="shared" si="5"/>
        <v>0</v>
      </c>
      <c r="J35" s="7">
        <f t="shared" si="6"/>
        <v>0</v>
      </c>
      <c r="K35" s="9">
        <f>IFERROR(E35-B35,"")</f>
        <v>0</v>
      </c>
      <c r="L35" s="9">
        <f>IFERROR(F35-C35,"")</f>
        <v>0</v>
      </c>
      <c r="M35" s="9">
        <f>IFERROR(G35-D35,"")</f>
        <v>0</v>
      </c>
      <c r="N35" s="9">
        <f>IFERROR(SQRT(K35^2+L35^2),"")</f>
        <v>0</v>
      </c>
      <c r="O35" s="10">
        <f>IFERROR(E35-B10,"")</f>
        <v>0</v>
      </c>
      <c r="P35" s="10">
        <f>IFERROR(F35-C10,"")</f>
        <v>0</v>
      </c>
      <c r="Q35" s="10">
        <f>IFERROR(G35-D10,"")</f>
        <v>0</v>
      </c>
      <c r="R35" s="10">
        <f>IFERROR(SQRT(O35^2+P35^2),"")</f>
        <v>0</v>
      </c>
      <c r="S35" s="11">
        <f>IFERROR(B35-B10,"")</f>
        <v>0</v>
      </c>
      <c r="T35" s="11">
        <f>IFERROR(C35-C10,"")</f>
        <v>0</v>
      </c>
      <c r="U35" s="11">
        <f>IFERROR(D35-D10,"")</f>
        <v>0</v>
      </c>
      <c r="V35" s="11">
        <f>IFERROR(SQRT(S35^2+T35^2),"")</f>
        <v>0</v>
      </c>
    </row>
    <row r="36" spans="1:22" ht="15" customHeight="1" x14ac:dyDescent="0.25">
      <c r="A36" s="4">
        <v>9</v>
      </c>
      <c r="B36" s="5"/>
      <c r="C36" s="5"/>
      <c r="D36" s="5"/>
      <c r="E36" s="5"/>
      <c r="F36" s="5"/>
      <c r="G36" s="5"/>
      <c r="H36" s="7">
        <f t="shared" si="4"/>
        <v>0</v>
      </c>
      <c r="I36" s="7">
        <f t="shared" si="5"/>
        <v>0</v>
      </c>
      <c r="J36" s="7">
        <f t="shared" si="6"/>
        <v>0</v>
      </c>
      <c r="K36" s="9">
        <f>IFERROR(E36-B36,"")</f>
        <v>0</v>
      </c>
      <c r="L36" s="9">
        <f>IFERROR(F36-C36,"")</f>
        <v>0</v>
      </c>
      <c r="M36" s="9">
        <f>IFERROR(G36-D36,"")</f>
        <v>0</v>
      </c>
      <c r="N36" s="9">
        <f>IFERROR(SQRT(K36^2+L36^2),"")</f>
        <v>0</v>
      </c>
      <c r="O36" s="10">
        <f>IFERROR(E36-B10,"")</f>
        <v>0</v>
      </c>
      <c r="P36" s="10">
        <f>IFERROR(F36-C10,"")</f>
        <v>0</v>
      </c>
      <c r="Q36" s="10">
        <f>IFERROR(G36-D10,"")</f>
        <v>0</v>
      </c>
      <c r="R36" s="10">
        <f>IFERROR(SQRT(O36^2+P36^2),"")</f>
        <v>0</v>
      </c>
      <c r="S36" s="11">
        <f>IFERROR(B36-B10,"")</f>
        <v>0</v>
      </c>
      <c r="T36" s="11">
        <f>IFERROR(C36-C10,"")</f>
        <v>0</v>
      </c>
      <c r="U36" s="11">
        <f>IFERROR(D36-D10,"")</f>
        <v>0</v>
      </c>
      <c r="V36" s="11">
        <f>IFERROR(SQRT(S36^2+T36^2),"")</f>
        <v>0</v>
      </c>
    </row>
    <row r="37" spans="1:22" ht="15" customHeight="1" x14ac:dyDescent="0.25">
      <c r="A37" s="4">
        <v>10</v>
      </c>
      <c r="B37" s="5"/>
      <c r="C37" s="5"/>
      <c r="D37" s="5"/>
      <c r="E37" s="5"/>
      <c r="F37" s="5"/>
      <c r="G37" s="5"/>
      <c r="H37" s="7">
        <f t="shared" si="4"/>
        <v>0</v>
      </c>
      <c r="I37" s="7">
        <f t="shared" si="5"/>
        <v>0</v>
      </c>
      <c r="J37" s="7">
        <f t="shared" si="6"/>
        <v>0</v>
      </c>
      <c r="K37" s="9">
        <f>IFERROR(E37-B37,"")</f>
        <v>0</v>
      </c>
      <c r="L37" s="9">
        <f>IFERROR(F37-C37,"")</f>
        <v>0</v>
      </c>
      <c r="M37" s="9">
        <f>IFERROR(G37-D37,"")</f>
        <v>0</v>
      </c>
      <c r="N37" s="9">
        <f>IFERROR(SQRT(K37^2+L37^2),"")</f>
        <v>0</v>
      </c>
      <c r="O37" s="10">
        <f>IFERROR(E37-B10,"")</f>
        <v>0</v>
      </c>
      <c r="P37" s="10">
        <f>IFERROR(F37-C10,"")</f>
        <v>0</v>
      </c>
      <c r="Q37" s="10">
        <f>IFERROR(G37-D10,"")</f>
        <v>0</v>
      </c>
      <c r="R37" s="10">
        <f>IFERROR(SQRT(O37^2+P37^2),"")</f>
        <v>0</v>
      </c>
      <c r="S37" s="11">
        <f>IFERROR(B37-B10,"")</f>
        <v>0</v>
      </c>
      <c r="T37" s="11">
        <f>IFERROR(C37-C10,"")</f>
        <v>0</v>
      </c>
      <c r="U37" s="11">
        <f>IFERROR(D37-D10,"")</f>
        <v>0</v>
      </c>
      <c r="V37" s="11">
        <f>IFERROR(SQRT(S37^2+T37^2),"")</f>
        <v>0</v>
      </c>
    </row>
    <row r="38" spans="1:22" ht="15" customHeight="1" x14ac:dyDescent="0.25"/>
    <row r="39" spans="1:22" ht="15" customHeight="1" x14ac:dyDescent="0.25">
      <c r="A39" s="1" t="s">
        <v>34</v>
      </c>
      <c r="B39" s="1"/>
      <c r="C39" s="1"/>
      <c r="D39" s="1"/>
      <c r="E39" s="1"/>
      <c r="F39" s="1"/>
      <c r="G39" s="1"/>
      <c r="H39" s="1"/>
      <c r="I39" s="1"/>
      <c r="J39" s="1"/>
    </row>
    <row r="40" spans="1:22" ht="15" customHeight="1" x14ac:dyDescent="0.25">
      <c r="A40" s="6" t="s">
        <v>13</v>
      </c>
      <c r="B40" s="6" t="s">
        <v>14</v>
      </c>
      <c r="C40" s="6" t="s">
        <v>15</v>
      </c>
      <c r="D40" s="6" t="s">
        <v>16</v>
      </c>
      <c r="E40" s="6" t="s">
        <v>17</v>
      </c>
      <c r="F40" s="6" t="s">
        <v>18</v>
      </c>
      <c r="G40" s="6" t="s">
        <v>19</v>
      </c>
      <c r="H40" s="6" t="s">
        <v>20</v>
      </c>
      <c r="I40" s="6" t="s">
        <v>21</v>
      </c>
      <c r="J40" s="6" t="s">
        <v>22</v>
      </c>
      <c r="K40" t="str">
        <f>IFERROR(E40-B40,"")</f>
        <v/>
      </c>
      <c r="L40" t="str">
        <f>IFERROR(F40-C40,"")</f>
        <v/>
      </c>
      <c r="M40" t="str">
        <f>IFERROR(G40-D40,"")</f>
        <v/>
      </c>
      <c r="N40" t="str">
        <f>IFERROR(SQRT(K40^2+L40^2),"")</f>
        <v/>
      </c>
      <c r="O40" t="str">
        <f>IFERROR(E40-B11,"")</f>
        <v/>
      </c>
      <c r="P40" t="str">
        <f>IFERROR(F40-C11,"")</f>
        <v/>
      </c>
      <c r="Q40" t="str">
        <f>IFERROR(G40-D11,"")</f>
        <v/>
      </c>
      <c r="R40" t="str">
        <f>IFERROR(SQRT(O40^2+P40^2),"")</f>
        <v/>
      </c>
      <c r="S40" t="str">
        <f>IFERROR(B40-B11,"")</f>
        <v/>
      </c>
      <c r="T40" t="str">
        <f>IFERROR(C40-C11,"")</f>
        <v/>
      </c>
      <c r="U40" t="str">
        <f>IFERROR(D40-D11,"")</f>
        <v/>
      </c>
      <c r="V40" t="str">
        <f>IFERROR(SQRT(S40^2+T40^2),"")</f>
        <v/>
      </c>
    </row>
    <row r="41" spans="1:22" ht="15" customHeight="1" x14ac:dyDescent="0.25">
      <c r="A41" s="4">
        <v>1</v>
      </c>
      <c r="B41" s="5"/>
      <c r="C41" s="5"/>
      <c r="D41" s="5"/>
      <c r="E41" s="5"/>
      <c r="F41" s="5"/>
      <c r="G41" s="5"/>
      <c r="H41" s="7">
        <f t="shared" ref="H41:H50" si="7">B41-E41</f>
        <v>0</v>
      </c>
      <c r="I41" s="7">
        <f t="shared" ref="I41:I50" si="8">C41-F41</f>
        <v>0</v>
      </c>
      <c r="J41" s="7">
        <f t="shared" ref="J41:J50" si="9">IFERROR(SQRT(H41^2+I41^2),"")</f>
        <v>0</v>
      </c>
      <c r="K41" s="9">
        <f>IFERROR(E41-B41,"")</f>
        <v>0</v>
      </c>
      <c r="L41" s="9">
        <f>IFERROR(F41-C41,"")</f>
        <v>0</v>
      </c>
      <c r="M41" s="9">
        <f>IFERROR(G41-D41,"")</f>
        <v>0</v>
      </c>
      <c r="N41" s="9">
        <f>IFERROR(SQRT(K41^2+L41^2),"")</f>
        <v>0</v>
      </c>
      <c r="O41" s="10">
        <f>IFERROR(E41-B11,"")</f>
        <v>0</v>
      </c>
      <c r="P41" s="10">
        <f>IFERROR(F41-C11,"")</f>
        <v>0</v>
      </c>
      <c r="Q41" s="10">
        <f>IFERROR(G41-D11,"")</f>
        <v>0</v>
      </c>
      <c r="R41" s="10">
        <f>IFERROR(SQRT(O41^2+P41^2),"")</f>
        <v>0</v>
      </c>
      <c r="S41" s="11">
        <f>IFERROR(B41-B11,"")</f>
        <v>0</v>
      </c>
      <c r="T41" s="11">
        <f>IFERROR(C41-C11,"")</f>
        <v>0</v>
      </c>
      <c r="U41" s="11">
        <f>IFERROR(D41-D11,"")</f>
        <v>0</v>
      </c>
      <c r="V41" s="11">
        <f>IFERROR(SQRT(S41^2+T41^2),"")</f>
        <v>0</v>
      </c>
    </row>
    <row r="42" spans="1:22" ht="15" customHeight="1" x14ac:dyDescent="0.25">
      <c r="A42" s="4">
        <v>2</v>
      </c>
      <c r="B42" s="5"/>
      <c r="C42" s="5"/>
      <c r="D42" s="5"/>
      <c r="E42" s="5"/>
      <c r="F42" s="5"/>
      <c r="G42" s="5"/>
      <c r="H42" s="7">
        <f t="shared" si="7"/>
        <v>0</v>
      </c>
      <c r="I42" s="7">
        <f t="shared" si="8"/>
        <v>0</v>
      </c>
      <c r="J42" s="7">
        <f t="shared" si="9"/>
        <v>0</v>
      </c>
      <c r="K42" s="9">
        <f>IFERROR(E42-B42,"")</f>
        <v>0</v>
      </c>
      <c r="L42" s="9">
        <f>IFERROR(F42-C42,"")</f>
        <v>0</v>
      </c>
      <c r="M42" s="9">
        <f>IFERROR(G42-D42,"")</f>
        <v>0</v>
      </c>
      <c r="N42" s="9">
        <f>IFERROR(SQRT(K42^2+L42^2),"")</f>
        <v>0</v>
      </c>
      <c r="O42" s="10">
        <f>IFERROR(E42-B11,"")</f>
        <v>0</v>
      </c>
      <c r="P42" s="10">
        <f>IFERROR(F42-C11,"")</f>
        <v>0</v>
      </c>
      <c r="Q42" s="10">
        <f>IFERROR(G42-D11,"")</f>
        <v>0</v>
      </c>
      <c r="R42" s="10">
        <f>IFERROR(SQRT(O42^2+P42^2),"")</f>
        <v>0</v>
      </c>
      <c r="S42" s="11">
        <f>IFERROR(B42-B11,"")</f>
        <v>0</v>
      </c>
      <c r="T42" s="11">
        <f>IFERROR(C42-C11,"")</f>
        <v>0</v>
      </c>
      <c r="U42" s="11">
        <f>IFERROR(D42-D11,"")</f>
        <v>0</v>
      </c>
      <c r="V42" s="11">
        <f>IFERROR(SQRT(S42^2+T42^2),"")</f>
        <v>0</v>
      </c>
    </row>
    <row r="43" spans="1:22" ht="15" customHeight="1" x14ac:dyDescent="0.25">
      <c r="A43" s="4">
        <v>3</v>
      </c>
      <c r="B43" s="5"/>
      <c r="C43" s="5"/>
      <c r="D43" s="5"/>
      <c r="E43" s="5"/>
      <c r="F43" s="5"/>
      <c r="G43" s="5"/>
      <c r="H43" s="7">
        <f t="shared" si="7"/>
        <v>0</v>
      </c>
      <c r="I43" s="7">
        <f t="shared" si="8"/>
        <v>0</v>
      </c>
      <c r="J43" s="7">
        <f t="shared" si="9"/>
        <v>0</v>
      </c>
      <c r="K43" s="9">
        <f>IFERROR(E43-B43,"")</f>
        <v>0</v>
      </c>
      <c r="L43" s="9">
        <f>IFERROR(F43-C43,"")</f>
        <v>0</v>
      </c>
      <c r="M43" s="9">
        <f>IFERROR(G43-D43,"")</f>
        <v>0</v>
      </c>
      <c r="N43" s="9">
        <f>IFERROR(SQRT(K43^2+L43^2),"")</f>
        <v>0</v>
      </c>
      <c r="O43" s="10">
        <f>IFERROR(E43-B11,"")</f>
        <v>0</v>
      </c>
      <c r="P43" s="10">
        <f>IFERROR(F43-C11,"")</f>
        <v>0</v>
      </c>
      <c r="Q43" s="10">
        <f>IFERROR(G43-D11,"")</f>
        <v>0</v>
      </c>
      <c r="R43" s="10">
        <f>IFERROR(SQRT(O43^2+P43^2),"")</f>
        <v>0</v>
      </c>
      <c r="S43" s="11">
        <f>IFERROR(B43-B11,"")</f>
        <v>0</v>
      </c>
      <c r="T43" s="11">
        <f>IFERROR(C43-C11,"")</f>
        <v>0</v>
      </c>
      <c r="U43" s="11">
        <f>IFERROR(D43-D11,"")</f>
        <v>0</v>
      </c>
      <c r="V43" s="11">
        <f>IFERROR(SQRT(S43^2+T43^2),"")</f>
        <v>0</v>
      </c>
    </row>
    <row r="44" spans="1:22" ht="15" customHeight="1" x14ac:dyDescent="0.25">
      <c r="A44" s="4">
        <v>4</v>
      </c>
      <c r="B44" s="5"/>
      <c r="C44" s="5"/>
      <c r="D44" s="5"/>
      <c r="E44" s="5"/>
      <c r="F44" s="5"/>
      <c r="G44" s="5"/>
      <c r="H44" s="7">
        <f t="shared" si="7"/>
        <v>0</v>
      </c>
      <c r="I44" s="7">
        <f t="shared" si="8"/>
        <v>0</v>
      </c>
      <c r="J44" s="7">
        <f t="shared" si="9"/>
        <v>0</v>
      </c>
      <c r="K44" s="9">
        <f>IFERROR(E44-B44,"")</f>
        <v>0</v>
      </c>
      <c r="L44" s="9">
        <f>IFERROR(F44-C44,"")</f>
        <v>0</v>
      </c>
      <c r="M44" s="9">
        <f>IFERROR(G44-D44,"")</f>
        <v>0</v>
      </c>
      <c r="N44" s="9">
        <f>IFERROR(SQRT(K44^2+L44^2),"")</f>
        <v>0</v>
      </c>
      <c r="O44" s="10">
        <f>IFERROR(E44-B11,"")</f>
        <v>0</v>
      </c>
      <c r="P44" s="10">
        <f>IFERROR(F44-C11,"")</f>
        <v>0</v>
      </c>
      <c r="Q44" s="10">
        <f>IFERROR(G44-D11,"")</f>
        <v>0</v>
      </c>
      <c r="R44" s="10">
        <f>IFERROR(SQRT(O44^2+P44^2),"")</f>
        <v>0</v>
      </c>
      <c r="S44" s="11">
        <f>IFERROR(B44-B11,"")</f>
        <v>0</v>
      </c>
      <c r="T44" s="11">
        <f>IFERROR(C44-C11,"")</f>
        <v>0</v>
      </c>
      <c r="U44" s="11">
        <f>IFERROR(D44-D11,"")</f>
        <v>0</v>
      </c>
      <c r="V44" s="11">
        <f>IFERROR(SQRT(S44^2+T44^2),"")</f>
        <v>0</v>
      </c>
    </row>
    <row r="45" spans="1:22" ht="15" customHeight="1" x14ac:dyDescent="0.25">
      <c r="A45" s="4">
        <v>5</v>
      </c>
      <c r="B45" s="5"/>
      <c r="C45" s="5"/>
      <c r="D45" s="5"/>
      <c r="E45" s="5"/>
      <c r="F45" s="5"/>
      <c r="G45" s="5"/>
      <c r="H45" s="7">
        <f t="shared" si="7"/>
        <v>0</v>
      </c>
      <c r="I45" s="7">
        <f t="shared" si="8"/>
        <v>0</v>
      </c>
      <c r="J45" s="7">
        <f t="shared" si="9"/>
        <v>0</v>
      </c>
      <c r="K45" s="9">
        <f>IFERROR(E45-B45,"")</f>
        <v>0</v>
      </c>
      <c r="L45" s="9">
        <f>IFERROR(F45-C45,"")</f>
        <v>0</v>
      </c>
      <c r="M45" s="9">
        <f>IFERROR(G45-D45,"")</f>
        <v>0</v>
      </c>
      <c r="N45" s="9">
        <f>IFERROR(SQRT(K45^2+L45^2),"")</f>
        <v>0</v>
      </c>
      <c r="O45" s="10">
        <f>IFERROR(E45-B11,"")</f>
        <v>0</v>
      </c>
      <c r="P45" s="10">
        <f>IFERROR(F45-C11,"")</f>
        <v>0</v>
      </c>
      <c r="Q45" s="10">
        <f>IFERROR(G45-D11,"")</f>
        <v>0</v>
      </c>
      <c r="R45" s="10">
        <f>IFERROR(SQRT(O45^2+P45^2),"")</f>
        <v>0</v>
      </c>
      <c r="S45" s="11">
        <f>IFERROR(B45-B11,"")</f>
        <v>0</v>
      </c>
      <c r="T45" s="11">
        <f>IFERROR(C45-C11,"")</f>
        <v>0</v>
      </c>
      <c r="U45" s="11">
        <f>IFERROR(D45-D11,"")</f>
        <v>0</v>
      </c>
      <c r="V45" s="11">
        <f>IFERROR(SQRT(S45^2+T45^2),"")</f>
        <v>0</v>
      </c>
    </row>
    <row r="46" spans="1:22" ht="15" customHeight="1" x14ac:dyDescent="0.25">
      <c r="A46" s="4">
        <v>6</v>
      </c>
      <c r="B46" s="5"/>
      <c r="C46" s="5"/>
      <c r="D46" s="5"/>
      <c r="E46" s="5"/>
      <c r="F46" s="5"/>
      <c r="G46" s="5"/>
      <c r="H46" s="7">
        <f t="shared" si="7"/>
        <v>0</v>
      </c>
      <c r="I46" s="7">
        <f t="shared" si="8"/>
        <v>0</v>
      </c>
      <c r="J46" s="7">
        <f t="shared" si="9"/>
        <v>0</v>
      </c>
      <c r="K46" s="9">
        <f>IFERROR(E46-B46,"")</f>
        <v>0</v>
      </c>
      <c r="L46" s="9">
        <f>IFERROR(F46-C46,"")</f>
        <v>0</v>
      </c>
      <c r="M46" s="9">
        <f>IFERROR(G46-D46,"")</f>
        <v>0</v>
      </c>
      <c r="N46" s="9">
        <f>IFERROR(SQRT(K46^2+L46^2),"")</f>
        <v>0</v>
      </c>
      <c r="O46" s="10">
        <f>IFERROR(E46-B11,"")</f>
        <v>0</v>
      </c>
      <c r="P46" s="10">
        <f>IFERROR(F46-C11,"")</f>
        <v>0</v>
      </c>
      <c r="Q46" s="10">
        <f>IFERROR(G46-D11,"")</f>
        <v>0</v>
      </c>
      <c r="R46" s="10">
        <f>IFERROR(SQRT(O46^2+P46^2),"")</f>
        <v>0</v>
      </c>
      <c r="S46" s="11">
        <f>IFERROR(B46-B11,"")</f>
        <v>0</v>
      </c>
      <c r="T46" s="11">
        <f>IFERROR(C46-C11,"")</f>
        <v>0</v>
      </c>
      <c r="U46" s="11">
        <f>IFERROR(D46-D11,"")</f>
        <v>0</v>
      </c>
      <c r="V46" s="11">
        <f>IFERROR(SQRT(S46^2+T46^2),"")</f>
        <v>0</v>
      </c>
    </row>
    <row r="47" spans="1:22" ht="15" customHeight="1" x14ac:dyDescent="0.25">
      <c r="A47" s="4">
        <v>7</v>
      </c>
      <c r="B47" s="5"/>
      <c r="C47" s="5"/>
      <c r="D47" s="5"/>
      <c r="E47" s="5"/>
      <c r="F47" s="5"/>
      <c r="G47" s="5"/>
      <c r="H47" s="7">
        <f t="shared" si="7"/>
        <v>0</v>
      </c>
      <c r="I47" s="7">
        <f t="shared" si="8"/>
        <v>0</v>
      </c>
      <c r="J47" s="7">
        <f t="shared" si="9"/>
        <v>0</v>
      </c>
      <c r="K47" s="9">
        <f>IFERROR(E47-B47,"")</f>
        <v>0</v>
      </c>
      <c r="L47" s="9">
        <f>IFERROR(F47-C47,"")</f>
        <v>0</v>
      </c>
      <c r="M47" s="9">
        <f>IFERROR(G47-D47,"")</f>
        <v>0</v>
      </c>
      <c r="N47" s="9">
        <f>IFERROR(SQRT(K47^2+L47^2),"")</f>
        <v>0</v>
      </c>
      <c r="O47" s="10">
        <f>IFERROR(E47-B11,"")</f>
        <v>0</v>
      </c>
      <c r="P47" s="10">
        <f>IFERROR(F47-C11,"")</f>
        <v>0</v>
      </c>
      <c r="Q47" s="10">
        <f>IFERROR(G47-D11,"")</f>
        <v>0</v>
      </c>
      <c r="R47" s="10">
        <f>IFERROR(SQRT(O47^2+P47^2),"")</f>
        <v>0</v>
      </c>
      <c r="S47" s="11">
        <f>IFERROR(B47-B11,"")</f>
        <v>0</v>
      </c>
      <c r="T47" s="11">
        <f>IFERROR(C47-C11,"")</f>
        <v>0</v>
      </c>
      <c r="U47" s="11">
        <f>IFERROR(D47-D11,"")</f>
        <v>0</v>
      </c>
      <c r="V47" s="11">
        <f>IFERROR(SQRT(S47^2+T47^2),"")</f>
        <v>0</v>
      </c>
    </row>
    <row r="48" spans="1:22" ht="15" customHeight="1" x14ac:dyDescent="0.25">
      <c r="A48" s="4">
        <v>8</v>
      </c>
      <c r="B48" s="5"/>
      <c r="C48" s="5"/>
      <c r="D48" s="5"/>
      <c r="E48" s="5"/>
      <c r="F48" s="5"/>
      <c r="G48" s="5"/>
      <c r="H48" s="7">
        <f t="shared" si="7"/>
        <v>0</v>
      </c>
      <c r="I48" s="7">
        <f t="shared" si="8"/>
        <v>0</v>
      </c>
      <c r="J48" s="7">
        <f t="shared" si="9"/>
        <v>0</v>
      </c>
      <c r="K48" s="9">
        <f>IFERROR(E48-B48,"")</f>
        <v>0</v>
      </c>
      <c r="L48" s="9">
        <f>IFERROR(F48-C48,"")</f>
        <v>0</v>
      </c>
      <c r="M48" s="9">
        <f>IFERROR(G48-D48,"")</f>
        <v>0</v>
      </c>
      <c r="N48" s="9">
        <f>IFERROR(SQRT(K48^2+L48^2),"")</f>
        <v>0</v>
      </c>
      <c r="O48" s="10">
        <f>IFERROR(E48-B11,"")</f>
        <v>0</v>
      </c>
      <c r="P48" s="10">
        <f>IFERROR(F48-C11,"")</f>
        <v>0</v>
      </c>
      <c r="Q48" s="10">
        <f>IFERROR(G48-D11,"")</f>
        <v>0</v>
      </c>
      <c r="R48" s="10">
        <f>IFERROR(SQRT(O48^2+P48^2),"")</f>
        <v>0</v>
      </c>
      <c r="S48" s="11">
        <f>IFERROR(B48-B11,"")</f>
        <v>0</v>
      </c>
      <c r="T48" s="11">
        <f>IFERROR(C48-C11,"")</f>
        <v>0</v>
      </c>
      <c r="U48" s="11">
        <f>IFERROR(D48-D11,"")</f>
        <v>0</v>
      </c>
      <c r="V48" s="11">
        <f>IFERROR(SQRT(S48^2+T48^2),"")</f>
        <v>0</v>
      </c>
    </row>
    <row r="49" spans="1:22" ht="15" customHeight="1" x14ac:dyDescent="0.25">
      <c r="A49" s="4">
        <v>9</v>
      </c>
      <c r="B49" s="5"/>
      <c r="C49" s="5"/>
      <c r="D49" s="5"/>
      <c r="E49" s="5"/>
      <c r="F49" s="5"/>
      <c r="G49" s="5"/>
      <c r="H49" s="7">
        <f t="shared" si="7"/>
        <v>0</v>
      </c>
      <c r="I49" s="7">
        <f t="shared" si="8"/>
        <v>0</v>
      </c>
      <c r="J49" s="7">
        <f t="shared" si="9"/>
        <v>0</v>
      </c>
      <c r="K49" s="9">
        <f>IFERROR(E49-B49,"")</f>
        <v>0</v>
      </c>
      <c r="L49" s="9">
        <f>IFERROR(F49-C49,"")</f>
        <v>0</v>
      </c>
      <c r="M49" s="9">
        <f>IFERROR(G49-D49,"")</f>
        <v>0</v>
      </c>
      <c r="N49" s="9">
        <f>IFERROR(SQRT(K49^2+L49^2),"")</f>
        <v>0</v>
      </c>
      <c r="O49" s="10">
        <f>IFERROR(E49-B11,"")</f>
        <v>0</v>
      </c>
      <c r="P49" s="10">
        <f>IFERROR(F49-C11,"")</f>
        <v>0</v>
      </c>
      <c r="Q49" s="10">
        <f>IFERROR(G49-D11,"")</f>
        <v>0</v>
      </c>
      <c r="R49" s="10">
        <f>IFERROR(SQRT(O49^2+P49^2),"")</f>
        <v>0</v>
      </c>
      <c r="S49" s="11">
        <f>IFERROR(B49-B11,"")</f>
        <v>0</v>
      </c>
      <c r="T49" s="11">
        <f>IFERROR(C49-C11,"")</f>
        <v>0</v>
      </c>
      <c r="U49" s="11">
        <f>IFERROR(D49-D11,"")</f>
        <v>0</v>
      </c>
      <c r="V49" s="11">
        <f>IFERROR(SQRT(S49^2+T49^2),"")</f>
        <v>0</v>
      </c>
    </row>
    <row r="50" spans="1:22" ht="15" customHeight="1" x14ac:dyDescent="0.25">
      <c r="A50" s="4">
        <v>10</v>
      </c>
      <c r="B50" s="5"/>
      <c r="C50" s="5"/>
      <c r="D50" s="5"/>
      <c r="E50" s="5"/>
      <c r="F50" s="5"/>
      <c r="G50" s="5"/>
      <c r="H50" s="7">
        <f t="shared" si="7"/>
        <v>0</v>
      </c>
      <c r="I50" s="7">
        <f t="shared" si="8"/>
        <v>0</v>
      </c>
      <c r="J50" s="7">
        <f t="shared" si="9"/>
        <v>0</v>
      </c>
      <c r="K50" s="9">
        <f>IFERROR(E50-B50,"")</f>
        <v>0</v>
      </c>
      <c r="L50" s="9">
        <f>IFERROR(F50-C50,"")</f>
        <v>0</v>
      </c>
      <c r="M50" s="9">
        <f>IFERROR(G50-D50,"")</f>
        <v>0</v>
      </c>
      <c r="N50" s="9">
        <f>IFERROR(SQRT(K50^2+L50^2),"")</f>
        <v>0</v>
      </c>
      <c r="O50" s="10">
        <f>IFERROR(E50-B11,"")</f>
        <v>0</v>
      </c>
      <c r="P50" s="10">
        <f>IFERROR(F50-C11,"")</f>
        <v>0</v>
      </c>
      <c r="Q50" s="10">
        <f>IFERROR(G50-D11,"")</f>
        <v>0</v>
      </c>
      <c r="R50" s="10">
        <f>IFERROR(SQRT(O50^2+P50^2),"")</f>
        <v>0</v>
      </c>
      <c r="S50" s="11">
        <f>IFERROR(B50-B11,"")</f>
        <v>0</v>
      </c>
      <c r="T50" s="11">
        <f>IFERROR(C50-C11,"")</f>
        <v>0</v>
      </c>
      <c r="U50" s="11">
        <f>IFERROR(D50-D11,"")</f>
        <v>0</v>
      </c>
      <c r="V50" s="11">
        <f>IFERROR(SQRT(S50^2+T50^2),"")</f>
        <v>0</v>
      </c>
    </row>
    <row r="52" spans="1:22" ht="15" customHeight="1" x14ac:dyDescent="0.25">
      <c r="A52" s="1" t="s">
        <v>35</v>
      </c>
      <c r="B52" s="1"/>
      <c r="C52" s="1"/>
      <c r="D52" s="1"/>
    </row>
    <row r="53" spans="1:22" ht="15" customHeight="1" x14ac:dyDescent="0.25">
      <c r="A53" s="4" t="s">
        <v>36</v>
      </c>
      <c r="B53" s="8">
        <f>IFERROR(AVERAGE(H15:H24),"")</f>
        <v>0</v>
      </c>
    </row>
    <row r="54" spans="1:22" ht="15" customHeight="1" x14ac:dyDescent="0.25">
      <c r="A54" s="4" t="s">
        <v>37</v>
      </c>
      <c r="B54" s="8">
        <f>IFERROR(AVERAGE(I15:I24),"")</f>
        <v>0</v>
      </c>
    </row>
    <row r="55" spans="1:22" ht="15" customHeight="1" x14ac:dyDescent="0.25">
      <c r="A55" s="4" t="s">
        <v>38</v>
      </c>
      <c r="B55" s="8">
        <f>IFERROR(STDEV(H15:H24),"")</f>
        <v>0</v>
      </c>
    </row>
    <row r="56" spans="1:22" ht="15" customHeight="1" x14ac:dyDescent="0.25">
      <c r="A56" s="4" t="s">
        <v>39</v>
      </c>
      <c r="B56" s="8">
        <f>IFERROR(STDEV(I15:I24),"")</f>
        <v>0</v>
      </c>
    </row>
    <row r="57" spans="1:22" ht="15" customHeight="1" x14ac:dyDescent="0.25">
      <c r="A57" s="4" t="s">
        <v>40</v>
      </c>
      <c r="B57" s="8">
        <f>IFERROR(AVERAGE(J15:J24),"")</f>
        <v>0</v>
      </c>
    </row>
    <row r="58" spans="1:22" ht="15" customHeight="1" x14ac:dyDescent="0.25">
      <c r="A58" s="4" t="s">
        <v>41</v>
      </c>
      <c r="B58" s="8">
        <f>IFERROR(MAX(J15:J24),"")</f>
        <v>0</v>
      </c>
    </row>
    <row r="59" spans="1:22" ht="15" customHeight="1" x14ac:dyDescent="0.25">
      <c r="A59" s="4"/>
    </row>
    <row r="60" spans="1:22" ht="15" customHeight="1" x14ac:dyDescent="0.25">
      <c r="A60" s="4" t="s">
        <v>42</v>
      </c>
      <c r="B60" s="8">
        <f>IFERROR(AVERAGE(H28:H37),"")</f>
        <v>0</v>
      </c>
    </row>
    <row r="61" spans="1:22" ht="15" customHeight="1" x14ac:dyDescent="0.25">
      <c r="A61" s="4" t="s">
        <v>43</v>
      </c>
      <c r="B61" s="8">
        <f>IFERROR(AVERAGE(I28:I37),"")</f>
        <v>0</v>
      </c>
    </row>
    <row r="62" spans="1:22" ht="15" customHeight="1" x14ac:dyDescent="0.25">
      <c r="A62" s="4" t="s">
        <v>44</v>
      </c>
      <c r="B62" s="8">
        <f>IFERROR(STDEV(H28:H37),"")</f>
        <v>0</v>
      </c>
    </row>
    <row r="63" spans="1:22" ht="15" customHeight="1" x14ac:dyDescent="0.25">
      <c r="A63" s="4" t="s">
        <v>45</v>
      </c>
      <c r="B63" s="8">
        <f>IFERROR(STDEV(I28:I37),"")</f>
        <v>0</v>
      </c>
    </row>
    <row r="64" spans="1:22" ht="15" customHeight="1" x14ac:dyDescent="0.25">
      <c r="A64" s="4" t="s">
        <v>46</v>
      </c>
      <c r="B64" s="8">
        <f>IFERROR(AVERAGE(J28:J37),"")</f>
        <v>0</v>
      </c>
    </row>
    <row r="65" spans="1:2" ht="15" customHeight="1" x14ac:dyDescent="0.25">
      <c r="A65" s="4" t="s">
        <v>47</v>
      </c>
      <c r="B65" s="8">
        <f>IFERROR(MAX(J28:J37),"")</f>
        <v>0</v>
      </c>
    </row>
    <row r="66" spans="1:2" ht="15" customHeight="1" x14ac:dyDescent="0.25">
      <c r="A66" s="4"/>
    </row>
    <row r="67" spans="1:2" ht="15" customHeight="1" x14ac:dyDescent="0.25">
      <c r="A67" s="4" t="s">
        <v>48</v>
      </c>
      <c r="B67" s="8">
        <f>IFERROR(AVERAGE(H41:H50),"")</f>
        <v>0</v>
      </c>
    </row>
    <row r="68" spans="1:2" ht="15" customHeight="1" x14ac:dyDescent="0.25">
      <c r="A68" s="4" t="s">
        <v>49</v>
      </c>
      <c r="B68" s="8">
        <f>IFERROR(AVERAGE(I41:I50),"")</f>
        <v>0</v>
      </c>
    </row>
    <row r="69" spans="1:2" ht="15" customHeight="1" x14ac:dyDescent="0.25">
      <c r="A69" s="4" t="s">
        <v>50</v>
      </c>
      <c r="B69" s="8">
        <f>IFERROR(STDEV(H41:H50),"")</f>
        <v>0</v>
      </c>
    </row>
    <row r="70" spans="1:2" ht="15" customHeight="1" x14ac:dyDescent="0.25">
      <c r="A70" s="4" t="s">
        <v>51</v>
      </c>
      <c r="B70" s="8">
        <f>IFERROR(STDEV(I41:I50),"")</f>
        <v>0</v>
      </c>
    </row>
    <row r="71" spans="1:2" ht="15" customHeight="1" x14ac:dyDescent="0.25">
      <c r="A71" s="4" t="s">
        <v>52</v>
      </c>
      <c r="B71" s="8">
        <f>IFERROR(AVERAGE(J41:J50),"")</f>
        <v>0</v>
      </c>
    </row>
    <row r="72" spans="1:2" ht="15" customHeight="1" x14ac:dyDescent="0.25">
      <c r="A72" s="4" t="s">
        <v>53</v>
      </c>
      <c r="B72" s="8">
        <f>IFERROR(MAX(J41:J50),"")</f>
        <v>0</v>
      </c>
    </row>
  </sheetData>
  <mergeCells count="5">
    <mergeCell ref="A1:J1"/>
    <mergeCell ref="A13:J13"/>
    <mergeCell ref="A26:J26"/>
    <mergeCell ref="A39:J39"/>
    <mergeCell ref="A52:D5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CC56-8BB2-469B-B2F2-54648F087FB6}">
  <dimension ref="A1:V72"/>
  <sheetViews>
    <sheetView tabSelected="1" topLeftCell="C12" workbookViewId="0">
      <selection activeCell="G42" sqref="G42"/>
    </sheetView>
  </sheetViews>
  <sheetFormatPr baseColWidth="10" defaultColWidth="8.7109375" defaultRowHeight="15" x14ac:dyDescent="0.25"/>
  <cols>
    <col min="1" max="1" width="38" customWidth="1"/>
    <col min="2" max="10" width="13" customWidth="1"/>
    <col min="11" max="22" width="18" customWidth="1"/>
  </cols>
  <sheetData>
    <row r="1" spans="1:22" ht="24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22" ht="15" customHeight="1" x14ac:dyDescent="0.25">
      <c r="A3" s="3" t="s">
        <v>1</v>
      </c>
    </row>
    <row r="4" spans="1:22" ht="15" customHeight="1" x14ac:dyDescent="0.25">
      <c r="A4" s="4" t="s">
        <v>2</v>
      </c>
      <c r="B4" s="5">
        <v>156.9</v>
      </c>
    </row>
    <row r="5" spans="1:22" ht="15" customHeight="1" x14ac:dyDescent="0.25">
      <c r="A5" s="4" t="s">
        <v>3</v>
      </c>
      <c r="B5" s="5">
        <v>60</v>
      </c>
    </row>
    <row r="7" spans="1:22" ht="15" customHeight="1" x14ac:dyDescent="0.25">
      <c r="A7" s="3" t="s">
        <v>4</v>
      </c>
    </row>
    <row r="8" spans="1:22" ht="15" customHeight="1" x14ac:dyDescent="0.25">
      <c r="A8" s="6" t="s">
        <v>5</v>
      </c>
      <c r="B8" s="6" t="s">
        <v>6</v>
      </c>
      <c r="C8" s="6" t="s">
        <v>7</v>
      </c>
      <c r="D8" s="6" t="s">
        <v>8</v>
      </c>
    </row>
    <row r="9" spans="1:22" ht="15" customHeight="1" x14ac:dyDescent="0.25">
      <c r="A9" s="4" t="s">
        <v>9</v>
      </c>
      <c r="B9" s="5">
        <v>200</v>
      </c>
      <c r="C9" s="5">
        <v>0</v>
      </c>
      <c r="D9" s="5">
        <v>0</v>
      </c>
    </row>
    <row r="10" spans="1:22" ht="15" customHeight="1" x14ac:dyDescent="0.25">
      <c r="A10" s="4" t="s">
        <v>10</v>
      </c>
      <c r="B10" s="5">
        <v>0</v>
      </c>
      <c r="C10" s="5">
        <v>0</v>
      </c>
      <c r="D10" s="5">
        <v>0</v>
      </c>
    </row>
    <row r="11" spans="1:22" ht="15" customHeight="1" x14ac:dyDescent="0.25">
      <c r="A11" s="4" t="s">
        <v>11</v>
      </c>
      <c r="B11" s="5">
        <v>0</v>
      </c>
      <c r="C11" s="5">
        <v>200</v>
      </c>
      <c r="D11" s="5">
        <v>0</v>
      </c>
    </row>
    <row r="13" spans="1:22" ht="15" customHeight="1" x14ac:dyDescent="0.25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</row>
    <row r="14" spans="1:22" ht="15" customHeight="1" x14ac:dyDescent="0.25">
      <c r="A14" s="6" t="s">
        <v>13</v>
      </c>
      <c r="B14" s="6" t="s">
        <v>14</v>
      </c>
      <c r="C14" s="6" t="s">
        <v>15</v>
      </c>
      <c r="D14" s="6" t="s">
        <v>16</v>
      </c>
      <c r="E14" s="6" t="s">
        <v>17</v>
      </c>
      <c r="F14" s="6" t="s">
        <v>18</v>
      </c>
      <c r="G14" s="6" t="s">
        <v>19</v>
      </c>
      <c r="H14" s="6" t="s">
        <v>20</v>
      </c>
      <c r="I14" s="6" t="s">
        <v>21</v>
      </c>
      <c r="J14" s="6" t="s">
        <v>22</v>
      </c>
      <c r="K14" s="6" t="s">
        <v>23</v>
      </c>
      <c r="L14" s="6" t="s">
        <v>21</v>
      </c>
      <c r="M14" s="6" t="s">
        <v>24</v>
      </c>
      <c r="N14" s="6" t="s">
        <v>22</v>
      </c>
      <c r="O14" s="6" t="s">
        <v>25</v>
      </c>
      <c r="P14" s="6" t="s">
        <v>26</v>
      </c>
      <c r="Q14" s="6" t="s">
        <v>27</v>
      </c>
      <c r="R14" s="6" t="s">
        <v>28</v>
      </c>
      <c r="S14" s="6" t="s">
        <v>29</v>
      </c>
      <c r="T14" s="6" t="s">
        <v>30</v>
      </c>
      <c r="U14" s="6" t="s">
        <v>31</v>
      </c>
      <c r="V14" s="6" t="s">
        <v>32</v>
      </c>
    </row>
    <row r="15" spans="1:22" ht="15" customHeight="1" x14ac:dyDescent="0.25">
      <c r="A15" s="4">
        <v>1</v>
      </c>
      <c r="B15" s="5">
        <v>194</v>
      </c>
      <c r="C15" s="5">
        <v>0</v>
      </c>
      <c r="D15" s="5">
        <v>1.4E-2</v>
      </c>
      <c r="E15" s="5">
        <v>206.4</v>
      </c>
      <c r="F15" s="5">
        <v>0.1</v>
      </c>
      <c r="G15" s="5">
        <v>1.4E-2</v>
      </c>
      <c r="H15" s="7">
        <f>B15-E15</f>
        <v>-12.400000000000006</v>
      </c>
      <c r="I15" s="7">
        <f>C15-F15</f>
        <v>-0.1</v>
      </c>
      <c r="J15" s="7">
        <f t="shared" ref="J15:J24" si="0">IFERROR(SQRT(H15^2+I15^2),"")</f>
        <v>12.400403219250579</v>
      </c>
      <c r="K15" s="9">
        <f>IFERROR(E15-B15,"")</f>
        <v>12.400000000000006</v>
      </c>
      <c r="L15" s="9">
        <f>IFERROR(F15-C15,"")</f>
        <v>0.1</v>
      </c>
      <c r="M15" s="9">
        <f>IFERROR(G15-D15,"")</f>
        <v>0</v>
      </c>
      <c r="N15" s="9">
        <f t="shared" ref="N15:N24" si="1">IFERROR(SQRT(K15^2+L15^2),"")</f>
        <v>12.400403219250579</v>
      </c>
      <c r="O15" s="10">
        <f>IFERROR(E15-B9,"")</f>
        <v>6.4000000000000057</v>
      </c>
      <c r="P15" s="10">
        <f>IFERROR(F15-C9,"")</f>
        <v>0.1</v>
      </c>
      <c r="Q15" s="10">
        <f>IFERROR(G15-D9,"")</f>
        <v>1.4E-2</v>
      </c>
      <c r="R15" s="10">
        <f t="shared" ref="R15:R24" si="2">IFERROR(SQRT(O15^2+P15^2),"")</f>
        <v>6.4007812023221096</v>
      </c>
      <c r="S15" s="11">
        <f>IFERROR(B15-B9,"")</f>
        <v>-6</v>
      </c>
      <c r="T15" s="11">
        <f>IFERROR(C15-C9,"")</f>
        <v>0</v>
      </c>
      <c r="U15" s="11">
        <f>IFERROR(D15-D9,"")</f>
        <v>1.4E-2</v>
      </c>
      <c r="V15" s="11">
        <f t="shared" ref="V15:V24" si="3">IFERROR(SQRT(S15^2+T15^2),"")</f>
        <v>6</v>
      </c>
    </row>
    <row r="16" spans="1:22" ht="15" customHeight="1" x14ac:dyDescent="0.25">
      <c r="A16" s="4">
        <v>2</v>
      </c>
      <c r="B16" s="5"/>
      <c r="C16" s="5"/>
      <c r="D16" s="5"/>
      <c r="E16" s="5"/>
      <c r="F16" s="5"/>
      <c r="G16" s="5"/>
      <c r="H16" s="7">
        <f t="shared" ref="H16:I24" si="4">B16-E16</f>
        <v>0</v>
      </c>
      <c r="I16" s="7">
        <f t="shared" si="4"/>
        <v>0</v>
      </c>
      <c r="J16" s="7">
        <f t="shared" si="0"/>
        <v>0</v>
      </c>
      <c r="K16" s="9">
        <f t="shared" ref="K16:M24" si="5">IFERROR(E16-B16,"")</f>
        <v>0</v>
      </c>
      <c r="L16" s="9">
        <f t="shared" si="5"/>
        <v>0</v>
      </c>
      <c r="M16" s="9">
        <f t="shared" si="5"/>
        <v>0</v>
      </c>
      <c r="N16" s="9">
        <f t="shared" si="1"/>
        <v>0</v>
      </c>
      <c r="O16" s="10">
        <f>IFERROR(E16-B9,"")</f>
        <v>-200</v>
      </c>
      <c r="P16" s="10">
        <f>IFERROR(F16-C9,"")</f>
        <v>0</v>
      </c>
      <c r="Q16" s="10">
        <f>IFERROR(G16-D9,"")</f>
        <v>0</v>
      </c>
      <c r="R16" s="10">
        <f t="shared" si="2"/>
        <v>200</v>
      </c>
      <c r="S16" s="11">
        <f>IFERROR(B16-B9,"")</f>
        <v>-200</v>
      </c>
      <c r="T16" s="11">
        <f>IFERROR(C16-C9,"")</f>
        <v>0</v>
      </c>
      <c r="U16" s="11">
        <f>IFERROR(D16-D9,"")</f>
        <v>0</v>
      </c>
      <c r="V16" s="11">
        <f t="shared" si="3"/>
        <v>200</v>
      </c>
    </row>
    <row r="17" spans="1:22" ht="15" customHeight="1" x14ac:dyDescent="0.25">
      <c r="A17" s="4">
        <v>3</v>
      </c>
      <c r="B17" s="5"/>
      <c r="C17" s="5"/>
      <c r="D17" s="5"/>
      <c r="E17" s="5"/>
      <c r="F17" s="5"/>
      <c r="G17" s="5"/>
      <c r="H17" s="7">
        <f t="shared" si="4"/>
        <v>0</v>
      </c>
      <c r="I17" s="7">
        <f t="shared" si="4"/>
        <v>0</v>
      </c>
      <c r="J17" s="7">
        <f t="shared" si="0"/>
        <v>0</v>
      </c>
      <c r="K17" s="9">
        <f t="shared" si="5"/>
        <v>0</v>
      </c>
      <c r="L17" s="9">
        <f t="shared" si="5"/>
        <v>0</v>
      </c>
      <c r="M17" s="9">
        <f t="shared" si="5"/>
        <v>0</v>
      </c>
      <c r="N17" s="9">
        <f t="shared" si="1"/>
        <v>0</v>
      </c>
      <c r="O17" s="10">
        <f>IFERROR(E17-B9,"")</f>
        <v>-200</v>
      </c>
      <c r="P17" s="10">
        <f>IFERROR(F17-C9,"")</f>
        <v>0</v>
      </c>
      <c r="Q17" s="10">
        <f>IFERROR(G17-D9,"")</f>
        <v>0</v>
      </c>
      <c r="R17" s="10">
        <f t="shared" si="2"/>
        <v>200</v>
      </c>
      <c r="S17" s="11">
        <f>IFERROR(B17-B9,"")</f>
        <v>-200</v>
      </c>
      <c r="T17" s="11">
        <f>IFERROR(C17-C9,"")</f>
        <v>0</v>
      </c>
      <c r="U17" s="11">
        <f>IFERROR(D17-D9,"")</f>
        <v>0</v>
      </c>
      <c r="V17" s="11">
        <f t="shared" si="3"/>
        <v>200</v>
      </c>
    </row>
    <row r="18" spans="1:22" ht="15" customHeight="1" x14ac:dyDescent="0.25">
      <c r="A18" s="4">
        <v>4</v>
      </c>
      <c r="B18" s="5"/>
      <c r="C18" s="5"/>
      <c r="D18" s="5"/>
      <c r="E18" s="5"/>
      <c r="F18" s="5"/>
      <c r="G18" s="5"/>
      <c r="H18" s="7">
        <f t="shared" si="4"/>
        <v>0</v>
      </c>
      <c r="I18" s="7">
        <f t="shared" si="4"/>
        <v>0</v>
      </c>
      <c r="J18" s="7">
        <f t="shared" si="0"/>
        <v>0</v>
      </c>
      <c r="K18" s="9">
        <f t="shared" si="5"/>
        <v>0</v>
      </c>
      <c r="L18" s="9">
        <f t="shared" si="5"/>
        <v>0</v>
      </c>
      <c r="M18" s="9">
        <f t="shared" si="5"/>
        <v>0</v>
      </c>
      <c r="N18" s="9">
        <f t="shared" si="1"/>
        <v>0</v>
      </c>
      <c r="O18" s="10">
        <f>IFERROR(E18-B9,"")</f>
        <v>-200</v>
      </c>
      <c r="P18" s="10">
        <f>IFERROR(F18-C9,"")</f>
        <v>0</v>
      </c>
      <c r="Q18" s="10">
        <f>IFERROR(G18-D9,"")</f>
        <v>0</v>
      </c>
      <c r="R18" s="10">
        <f t="shared" si="2"/>
        <v>200</v>
      </c>
      <c r="S18" s="11">
        <f>IFERROR(B18-B9,"")</f>
        <v>-200</v>
      </c>
      <c r="T18" s="11">
        <f>IFERROR(C18-C9,"")</f>
        <v>0</v>
      </c>
      <c r="U18" s="11">
        <f>IFERROR(D18-D9,"")</f>
        <v>0</v>
      </c>
      <c r="V18" s="11">
        <f t="shared" si="3"/>
        <v>200</v>
      </c>
    </row>
    <row r="19" spans="1:22" ht="15" customHeight="1" x14ac:dyDescent="0.25">
      <c r="A19" s="4">
        <v>5</v>
      </c>
      <c r="B19" s="5"/>
      <c r="C19" s="5"/>
      <c r="D19" s="5"/>
      <c r="E19" s="5"/>
      <c r="F19" s="5"/>
      <c r="G19" s="5"/>
      <c r="H19" s="7">
        <f t="shared" si="4"/>
        <v>0</v>
      </c>
      <c r="I19" s="7">
        <f t="shared" si="4"/>
        <v>0</v>
      </c>
      <c r="J19" s="7">
        <f t="shared" si="0"/>
        <v>0</v>
      </c>
      <c r="K19" s="9">
        <f t="shared" si="5"/>
        <v>0</v>
      </c>
      <c r="L19" s="9">
        <f t="shared" si="5"/>
        <v>0</v>
      </c>
      <c r="M19" s="9">
        <f t="shared" si="5"/>
        <v>0</v>
      </c>
      <c r="N19" s="9">
        <f t="shared" si="1"/>
        <v>0</v>
      </c>
      <c r="O19" s="10">
        <f>IFERROR(E19-B9,"")</f>
        <v>-200</v>
      </c>
      <c r="P19" s="10">
        <f>IFERROR(F19-C9,"")</f>
        <v>0</v>
      </c>
      <c r="Q19" s="10">
        <f>IFERROR(G19-D9,"")</f>
        <v>0</v>
      </c>
      <c r="R19" s="10">
        <f t="shared" si="2"/>
        <v>200</v>
      </c>
      <c r="S19" s="11">
        <f>IFERROR(B19-B9,"")</f>
        <v>-200</v>
      </c>
      <c r="T19" s="11">
        <f>IFERROR(C19-C9,"")</f>
        <v>0</v>
      </c>
      <c r="U19" s="11">
        <f>IFERROR(D19-D9,"")</f>
        <v>0</v>
      </c>
      <c r="V19" s="11">
        <f t="shared" si="3"/>
        <v>200</v>
      </c>
    </row>
    <row r="20" spans="1:22" ht="15" customHeight="1" x14ac:dyDescent="0.25">
      <c r="A20" s="4">
        <v>6</v>
      </c>
      <c r="B20" s="5"/>
      <c r="C20" s="5"/>
      <c r="D20" s="5"/>
      <c r="E20" s="5"/>
      <c r="F20" s="5"/>
      <c r="G20" s="5"/>
      <c r="H20" s="7">
        <f t="shared" si="4"/>
        <v>0</v>
      </c>
      <c r="I20" s="7">
        <f t="shared" si="4"/>
        <v>0</v>
      </c>
      <c r="J20" s="7">
        <f t="shared" si="0"/>
        <v>0</v>
      </c>
      <c r="K20" s="9">
        <f t="shared" si="5"/>
        <v>0</v>
      </c>
      <c r="L20" s="9">
        <f t="shared" si="5"/>
        <v>0</v>
      </c>
      <c r="M20" s="9">
        <f t="shared" si="5"/>
        <v>0</v>
      </c>
      <c r="N20" s="9">
        <f t="shared" si="1"/>
        <v>0</v>
      </c>
      <c r="O20" s="10">
        <f>IFERROR(E20-B9,"")</f>
        <v>-200</v>
      </c>
      <c r="P20" s="10">
        <f>IFERROR(F20-C9,"")</f>
        <v>0</v>
      </c>
      <c r="Q20" s="10">
        <f>IFERROR(G20-D9,"")</f>
        <v>0</v>
      </c>
      <c r="R20" s="10">
        <f t="shared" si="2"/>
        <v>200</v>
      </c>
      <c r="S20" s="11">
        <f>IFERROR(B20-B9,"")</f>
        <v>-200</v>
      </c>
      <c r="T20" s="11">
        <f>IFERROR(C20-C9,"")</f>
        <v>0</v>
      </c>
      <c r="U20" s="11">
        <f>IFERROR(D20-D9,"")</f>
        <v>0</v>
      </c>
      <c r="V20" s="11">
        <f t="shared" si="3"/>
        <v>200</v>
      </c>
    </row>
    <row r="21" spans="1:22" ht="15" customHeight="1" x14ac:dyDescent="0.25">
      <c r="A21" s="4">
        <v>7</v>
      </c>
      <c r="B21" s="5"/>
      <c r="C21" s="5"/>
      <c r="D21" s="5"/>
      <c r="E21" s="5"/>
      <c r="F21" s="5"/>
      <c r="G21" s="5"/>
      <c r="H21" s="7">
        <f t="shared" si="4"/>
        <v>0</v>
      </c>
      <c r="I21" s="7">
        <f t="shared" si="4"/>
        <v>0</v>
      </c>
      <c r="J21" s="7">
        <f t="shared" si="0"/>
        <v>0</v>
      </c>
      <c r="K21" s="9">
        <f t="shared" si="5"/>
        <v>0</v>
      </c>
      <c r="L21" s="9">
        <f t="shared" si="5"/>
        <v>0</v>
      </c>
      <c r="M21" s="9">
        <f t="shared" si="5"/>
        <v>0</v>
      </c>
      <c r="N21" s="9">
        <f t="shared" si="1"/>
        <v>0</v>
      </c>
      <c r="O21" s="10">
        <f>IFERROR(E21-B9,"")</f>
        <v>-200</v>
      </c>
      <c r="P21" s="10">
        <f>IFERROR(F21-C9,"")</f>
        <v>0</v>
      </c>
      <c r="Q21" s="10">
        <f>IFERROR(G21-D9,"")</f>
        <v>0</v>
      </c>
      <c r="R21" s="10">
        <f t="shared" si="2"/>
        <v>200</v>
      </c>
      <c r="S21" s="11">
        <f>IFERROR(B21-B9,"")</f>
        <v>-200</v>
      </c>
      <c r="T21" s="11">
        <f>IFERROR(C21-C9,"")</f>
        <v>0</v>
      </c>
      <c r="U21" s="11">
        <f>IFERROR(D21-D9,"")</f>
        <v>0</v>
      </c>
      <c r="V21" s="11">
        <f t="shared" si="3"/>
        <v>200</v>
      </c>
    </row>
    <row r="22" spans="1:22" ht="15" customHeight="1" x14ac:dyDescent="0.25">
      <c r="A22" s="4">
        <v>8</v>
      </c>
      <c r="B22" s="5"/>
      <c r="C22" s="5"/>
      <c r="D22" s="5"/>
      <c r="E22" s="5"/>
      <c r="F22" s="5"/>
      <c r="G22" s="5"/>
      <c r="H22" s="7">
        <f t="shared" si="4"/>
        <v>0</v>
      </c>
      <c r="I22" s="7">
        <f t="shared" si="4"/>
        <v>0</v>
      </c>
      <c r="J22" s="7">
        <f t="shared" si="0"/>
        <v>0</v>
      </c>
      <c r="K22" s="9">
        <f t="shared" si="5"/>
        <v>0</v>
      </c>
      <c r="L22" s="9">
        <f t="shared" si="5"/>
        <v>0</v>
      </c>
      <c r="M22" s="9">
        <f t="shared" si="5"/>
        <v>0</v>
      </c>
      <c r="N22" s="9">
        <f t="shared" si="1"/>
        <v>0</v>
      </c>
      <c r="O22" s="10">
        <f>IFERROR(E22-B9,"")</f>
        <v>-200</v>
      </c>
      <c r="P22" s="10">
        <f>IFERROR(F22-C9,"")</f>
        <v>0</v>
      </c>
      <c r="Q22" s="10">
        <f>IFERROR(G22-D9,"")</f>
        <v>0</v>
      </c>
      <c r="R22" s="10">
        <f t="shared" si="2"/>
        <v>200</v>
      </c>
      <c r="S22" s="11">
        <f>IFERROR(B22-B9,"")</f>
        <v>-200</v>
      </c>
      <c r="T22" s="11">
        <f>IFERROR(C22-C9,"")</f>
        <v>0</v>
      </c>
      <c r="U22" s="11">
        <f>IFERROR(D22-D9,"")</f>
        <v>0</v>
      </c>
      <c r="V22" s="11">
        <f t="shared" si="3"/>
        <v>200</v>
      </c>
    </row>
    <row r="23" spans="1:22" ht="15" customHeight="1" x14ac:dyDescent="0.25">
      <c r="A23" s="4">
        <v>9</v>
      </c>
      <c r="B23" s="5"/>
      <c r="C23" s="5"/>
      <c r="D23" s="5"/>
      <c r="E23" s="5"/>
      <c r="F23" s="5"/>
      <c r="G23" s="5"/>
      <c r="H23" s="7">
        <f t="shared" si="4"/>
        <v>0</v>
      </c>
      <c r="I23" s="7">
        <f t="shared" si="4"/>
        <v>0</v>
      </c>
      <c r="J23" s="7">
        <f t="shared" si="0"/>
        <v>0</v>
      </c>
      <c r="K23" s="9">
        <f t="shared" si="5"/>
        <v>0</v>
      </c>
      <c r="L23" s="9">
        <f t="shared" si="5"/>
        <v>0</v>
      </c>
      <c r="M23" s="9">
        <f t="shared" si="5"/>
        <v>0</v>
      </c>
      <c r="N23" s="9">
        <f t="shared" si="1"/>
        <v>0</v>
      </c>
      <c r="O23" s="10">
        <f>IFERROR(E23-B9,"")</f>
        <v>-200</v>
      </c>
      <c r="P23" s="10">
        <f>IFERROR(F23-C9,"")</f>
        <v>0</v>
      </c>
      <c r="Q23" s="10">
        <f>IFERROR(G23-D9,"")</f>
        <v>0</v>
      </c>
      <c r="R23" s="10">
        <f t="shared" si="2"/>
        <v>200</v>
      </c>
      <c r="S23" s="11">
        <f>IFERROR(B23-B9,"")</f>
        <v>-200</v>
      </c>
      <c r="T23" s="11">
        <f>IFERROR(C23-C9,"")</f>
        <v>0</v>
      </c>
      <c r="U23" s="11">
        <f>IFERROR(D23-D9,"")</f>
        <v>0</v>
      </c>
      <c r="V23" s="11">
        <f t="shared" si="3"/>
        <v>200</v>
      </c>
    </row>
    <row r="24" spans="1:22" ht="15" customHeight="1" x14ac:dyDescent="0.25">
      <c r="A24" s="4">
        <v>10</v>
      </c>
      <c r="B24" s="5"/>
      <c r="C24" s="5"/>
      <c r="D24" s="5"/>
      <c r="E24" s="5"/>
      <c r="F24" s="5"/>
      <c r="G24" s="5"/>
      <c r="H24" s="7">
        <f t="shared" si="4"/>
        <v>0</v>
      </c>
      <c r="I24" s="7">
        <f t="shared" si="4"/>
        <v>0</v>
      </c>
      <c r="J24" s="7">
        <f t="shared" si="0"/>
        <v>0</v>
      </c>
      <c r="K24" s="9">
        <f t="shared" si="5"/>
        <v>0</v>
      </c>
      <c r="L24" s="9">
        <f t="shared" si="5"/>
        <v>0</v>
      </c>
      <c r="M24" s="9">
        <f t="shared" si="5"/>
        <v>0</v>
      </c>
      <c r="N24" s="9">
        <f t="shared" si="1"/>
        <v>0</v>
      </c>
      <c r="O24" s="10">
        <f>IFERROR(E24-B9,"")</f>
        <v>-200</v>
      </c>
      <c r="P24" s="10">
        <f>IFERROR(F24-C9,"")</f>
        <v>0</v>
      </c>
      <c r="Q24" s="10">
        <f>IFERROR(G24-D9,"")</f>
        <v>0</v>
      </c>
      <c r="R24" s="10">
        <f t="shared" si="2"/>
        <v>200</v>
      </c>
      <c r="S24" s="11">
        <f>IFERROR(B24-B9,"")</f>
        <v>-200</v>
      </c>
      <c r="T24" s="11">
        <f>IFERROR(C24-C9,"")</f>
        <v>0</v>
      </c>
      <c r="U24" s="11">
        <f>IFERROR(D24-D9,"")</f>
        <v>0</v>
      </c>
      <c r="V24" s="11">
        <f t="shared" si="3"/>
        <v>200</v>
      </c>
    </row>
    <row r="26" spans="1:22" ht="15" customHeight="1" x14ac:dyDescent="0.25">
      <c r="A26" s="1" t="s">
        <v>33</v>
      </c>
      <c r="B26" s="1"/>
      <c r="C26" s="1"/>
      <c r="D26" s="1"/>
      <c r="E26" s="1"/>
      <c r="F26" s="1"/>
      <c r="G26" s="1"/>
      <c r="H26" s="1"/>
      <c r="I26" s="1"/>
      <c r="J26" s="1"/>
    </row>
    <row r="27" spans="1:22" ht="15" customHeight="1" x14ac:dyDescent="0.25">
      <c r="A27" s="6" t="s">
        <v>13</v>
      </c>
      <c r="B27" s="6" t="s">
        <v>14</v>
      </c>
      <c r="C27" s="6" t="s">
        <v>15</v>
      </c>
      <c r="D27" s="6" t="s">
        <v>16</v>
      </c>
      <c r="E27" s="6" t="s">
        <v>17</v>
      </c>
      <c r="F27" s="6" t="s">
        <v>18</v>
      </c>
      <c r="G27" s="6" t="s">
        <v>19</v>
      </c>
      <c r="H27" s="6" t="s">
        <v>20</v>
      </c>
      <c r="I27" s="6" t="s">
        <v>21</v>
      </c>
      <c r="J27" s="6" t="s">
        <v>22</v>
      </c>
      <c r="K27" t="str">
        <f t="shared" ref="K27:M51" si="6">IFERROR(E27-B27,"")</f>
        <v/>
      </c>
      <c r="L27" t="str">
        <f t="shared" si="6"/>
        <v/>
      </c>
      <c r="M27" t="str">
        <f t="shared" si="6"/>
        <v/>
      </c>
      <c r="N27" t="str">
        <f t="shared" ref="N27:N51" si="7">IFERROR(SQRT(K27^2+L27^2),"")</f>
        <v/>
      </c>
      <c r="O27" t="str">
        <f>IFERROR(E27-B10,"")</f>
        <v/>
      </c>
      <c r="P27" t="str">
        <f>IFERROR(F27-C10,"")</f>
        <v/>
      </c>
      <c r="Q27" t="str">
        <f>IFERROR(G27-D10,"")</f>
        <v/>
      </c>
      <c r="R27" t="str">
        <f t="shared" ref="R27:R51" si="8">IFERROR(SQRT(O27^2+P27^2),"")</f>
        <v/>
      </c>
      <c r="S27" t="str">
        <f>IFERROR(B27-B10,"")</f>
        <v/>
      </c>
      <c r="T27" t="str">
        <f>IFERROR(C27-C10,"")</f>
        <v/>
      </c>
      <c r="U27" t="str">
        <f>IFERROR(D27-D10,"")</f>
        <v/>
      </c>
      <c r="V27" t="str">
        <f t="shared" ref="V27:V51" si="9">IFERROR(SQRT(S27^2+T27^2),"")</f>
        <v/>
      </c>
    </row>
    <row r="28" spans="1:22" ht="15" customHeight="1" x14ac:dyDescent="0.25">
      <c r="A28" s="4">
        <v>1</v>
      </c>
      <c r="B28" s="5">
        <v>6</v>
      </c>
      <c r="C28" s="5">
        <v>0</v>
      </c>
      <c r="D28" s="5">
        <v>-8.0000000000000002E-3</v>
      </c>
      <c r="E28" s="5">
        <v>3</v>
      </c>
      <c r="F28" s="5">
        <v>0</v>
      </c>
      <c r="G28" s="5">
        <v>0.01</v>
      </c>
      <c r="H28" s="7">
        <f t="shared" ref="H28:I37" si="10">B28-E28</f>
        <v>3</v>
      </c>
      <c r="I28" s="7">
        <f t="shared" si="10"/>
        <v>0</v>
      </c>
      <c r="J28" s="7">
        <f t="shared" ref="J28:J37" si="11">IFERROR(SQRT(H28^2+I28^2),"")</f>
        <v>3</v>
      </c>
      <c r="K28" s="9">
        <f t="shared" si="6"/>
        <v>-3</v>
      </c>
      <c r="L28" s="9">
        <f t="shared" si="6"/>
        <v>0</v>
      </c>
      <c r="M28" s="9">
        <f t="shared" si="6"/>
        <v>1.8000000000000002E-2</v>
      </c>
      <c r="N28" s="9">
        <f t="shared" si="7"/>
        <v>3</v>
      </c>
      <c r="O28" s="10">
        <f>IFERROR(E28-B10,"")</f>
        <v>3</v>
      </c>
      <c r="P28" s="10">
        <f>IFERROR(F28-C10,"")</f>
        <v>0</v>
      </c>
      <c r="Q28" s="10">
        <f>IFERROR(G28-D10,"")</f>
        <v>0.01</v>
      </c>
      <c r="R28" s="10">
        <f t="shared" si="8"/>
        <v>3</v>
      </c>
      <c r="S28" s="11">
        <f>IFERROR(B28-B10,"")</f>
        <v>6</v>
      </c>
      <c r="T28" s="11">
        <f>IFERROR(C28-C10,"")</f>
        <v>0</v>
      </c>
      <c r="U28" s="11">
        <f>IFERROR(D28-D10,"")</f>
        <v>-8.0000000000000002E-3</v>
      </c>
      <c r="V28" s="11">
        <f t="shared" si="9"/>
        <v>6</v>
      </c>
    </row>
    <row r="29" spans="1:22" ht="15" customHeight="1" x14ac:dyDescent="0.25">
      <c r="A29" s="4">
        <v>2</v>
      </c>
      <c r="B29" s="5"/>
      <c r="C29" s="5"/>
      <c r="D29" s="5"/>
      <c r="E29" s="5"/>
      <c r="F29" s="5"/>
      <c r="G29" s="5"/>
      <c r="H29" s="7">
        <f t="shared" si="10"/>
        <v>0</v>
      </c>
      <c r="I29" s="7">
        <f t="shared" si="10"/>
        <v>0</v>
      </c>
      <c r="J29" s="7">
        <f t="shared" si="11"/>
        <v>0</v>
      </c>
      <c r="K29" s="9">
        <f t="shared" si="6"/>
        <v>0</v>
      </c>
      <c r="L29" s="9">
        <f t="shared" si="6"/>
        <v>0</v>
      </c>
      <c r="M29" s="9">
        <f t="shared" si="6"/>
        <v>0</v>
      </c>
      <c r="N29" s="9">
        <f t="shared" si="7"/>
        <v>0</v>
      </c>
      <c r="O29" s="10">
        <f>IFERROR(E29-B10,"")</f>
        <v>0</v>
      </c>
      <c r="P29" s="10">
        <f>IFERROR(F29-C10,"")</f>
        <v>0</v>
      </c>
      <c r="Q29" s="10">
        <f>IFERROR(G29-D10,"")</f>
        <v>0</v>
      </c>
      <c r="R29" s="10">
        <f t="shared" si="8"/>
        <v>0</v>
      </c>
      <c r="S29" s="11">
        <f>IFERROR(B29-B10,"")</f>
        <v>0</v>
      </c>
      <c r="T29" s="11">
        <f>IFERROR(C29-C10,"")</f>
        <v>0</v>
      </c>
      <c r="U29" s="11">
        <f>IFERROR(D29-D10,"")</f>
        <v>0</v>
      </c>
      <c r="V29" s="11">
        <f t="shared" si="9"/>
        <v>0</v>
      </c>
    </row>
    <row r="30" spans="1:22" ht="15" customHeight="1" x14ac:dyDescent="0.25">
      <c r="A30" s="4">
        <v>3</v>
      </c>
      <c r="B30" s="5"/>
      <c r="C30" s="5"/>
      <c r="D30" s="5"/>
      <c r="E30" s="5"/>
      <c r="F30" s="5"/>
      <c r="G30" s="5"/>
      <c r="H30" s="7">
        <f t="shared" si="10"/>
        <v>0</v>
      </c>
      <c r="I30" s="7">
        <f t="shared" si="10"/>
        <v>0</v>
      </c>
      <c r="J30" s="7">
        <f t="shared" si="11"/>
        <v>0</v>
      </c>
      <c r="K30" s="9">
        <f t="shared" si="6"/>
        <v>0</v>
      </c>
      <c r="L30" s="9">
        <f t="shared" si="6"/>
        <v>0</v>
      </c>
      <c r="M30" s="9">
        <f t="shared" si="6"/>
        <v>0</v>
      </c>
      <c r="N30" s="9">
        <f t="shared" si="7"/>
        <v>0</v>
      </c>
      <c r="O30" s="10">
        <f>IFERROR(E30-B10,"")</f>
        <v>0</v>
      </c>
      <c r="P30" s="10">
        <f>IFERROR(F30-C10,"")</f>
        <v>0</v>
      </c>
      <c r="Q30" s="10">
        <f>IFERROR(G30-D10,"")</f>
        <v>0</v>
      </c>
      <c r="R30" s="10">
        <f t="shared" si="8"/>
        <v>0</v>
      </c>
      <c r="S30" s="11">
        <f>IFERROR(B30-B10,"")</f>
        <v>0</v>
      </c>
      <c r="T30" s="11">
        <f>IFERROR(C30-C10,"")</f>
        <v>0</v>
      </c>
      <c r="U30" s="11">
        <f>IFERROR(D30-D10,"")</f>
        <v>0</v>
      </c>
      <c r="V30" s="11">
        <f t="shared" si="9"/>
        <v>0</v>
      </c>
    </row>
    <row r="31" spans="1:22" ht="15" customHeight="1" x14ac:dyDescent="0.25">
      <c r="A31" s="4">
        <v>4</v>
      </c>
      <c r="B31" s="5"/>
      <c r="C31" s="5"/>
      <c r="D31" s="5"/>
      <c r="E31" s="5"/>
      <c r="F31" s="5"/>
      <c r="G31" s="5"/>
      <c r="H31" s="7">
        <f t="shared" si="10"/>
        <v>0</v>
      </c>
      <c r="I31" s="7">
        <f t="shared" si="10"/>
        <v>0</v>
      </c>
      <c r="J31" s="7">
        <f t="shared" si="11"/>
        <v>0</v>
      </c>
      <c r="K31" s="9">
        <f t="shared" si="6"/>
        <v>0</v>
      </c>
      <c r="L31" s="9">
        <f t="shared" si="6"/>
        <v>0</v>
      </c>
      <c r="M31" s="9">
        <f t="shared" si="6"/>
        <v>0</v>
      </c>
      <c r="N31" s="9">
        <f t="shared" si="7"/>
        <v>0</v>
      </c>
      <c r="O31" s="10">
        <f>IFERROR(E31-B10,"")</f>
        <v>0</v>
      </c>
      <c r="P31" s="10">
        <f>IFERROR(F31-C10,"")</f>
        <v>0</v>
      </c>
      <c r="Q31" s="10">
        <f>IFERROR(G31-D10,"")</f>
        <v>0</v>
      </c>
      <c r="R31" s="10">
        <f t="shared" si="8"/>
        <v>0</v>
      </c>
      <c r="S31" s="11">
        <f>IFERROR(B31-B10,"")</f>
        <v>0</v>
      </c>
      <c r="T31" s="11">
        <f>IFERROR(C31-C10,"")</f>
        <v>0</v>
      </c>
      <c r="U31" s="11">
        <f>IFERROR(D31-D10,"")</f>
        <v>0</v>
      </c>
      <c r="V31" s="11">
        <f t="shared" si="9"/>
        <v>0</v>
      </c>
    </row>
    <row r="32" spans="1:22" ht="15" customHeight="1" x14ac:dyDescent="0.25">
      <c r="A32" s="4">
        <v>5</v>
      </c>
      <c r="B32" s="5"/>
      <c r="C32" s="5"/>
      <c r="D32" s="5"/>
      <c r="E32" s="5"/>
      <c r="F32" s="5"/>
      <c r="G32" s="5"/>
      <c r="H32" s="7">
        <f t="shared" si="10"/>
        <v>0</v>
      </c>
      <c r="I32" s="7">
        <f t="shared" si="10"/>
        <v>0</v>
      </c>
      <c r="J32" s="7">
        <f t="shared" si="11"/>
        <v>0</v>
      </c>
      <c r="K32" s="9">
        <f t="shared" si="6"/>
        <v>0</v>
      </c>
      <c r="L32" s="9">
        <f t="shared" si="6"/>
        <v>0</v>
      </c>
      <c r="M32" s="9">
        <f t="shared" si="6"/>
        <v>0</v>
      </c>
      <c r="N32" s="9">
        <f t="shared" si="7"/>
        <v>0</v>
      </c>
      <c r="O32" s="10">
        <f>IFERROR(E32-B10,"")</f>
        <v>0</v>
      </c>
      <c r="P32" s="10">
        <f>IFERROR(F32-C10,"")</f>
        <v>0</v>
      </c>
      <c r="Q32" s="10">
        <f>IFERROR(G32-D10,"")</f>
        <v>0</v>
      </c>
      <c r="R32" s="10">
        <f t="shared" si="8"/>
        <v>0</v>
      </c>
      <c r="S32" s="11">
        <f>IFERROR(B32-B10,"")</f>
        <v>0</v>
      </c>
      <c r="T32" s="11">
        <f>IFERROR(C32-C10,"")</f>
        <v>0</v>
      </c>
      <c r="U32" s="11">
        <f>IFERROR(D32-D10,"")</f>
        <v>0</v>
      </c>
      <c r="V32" s="11">
        <f t="shared" si="9"/>
        <v>0</v>
      </c>
    </row>
    <row r="33" spans="1:22" ht="15" customHeight="1" x14ac:dyDescent="0.25">
      <c r="A33" s="4">
        <v>6</v>
      </c>
      <c r="B33" s="5"/>
      <c r="C33" s="5"/>
      <c r="D33" s="5"/>
      <c r="E33" s="5"/>
      <c r="F33" s="5"/>
      <c r="G33" s="5"/>
      <c r="H33" s="7">
        <f t="shared" si="10"/>
        <v>0</v>
      </c>
      <c r="I33" s="7">
        <f t="shared" si="10"/>
        <v>0</v>
      </c>
      <c r="J33" s="7">
        <f t="shared" si="11"/>
        <v>0</v>
      </c>
      <c r="K33" s="9">
        <f t="shared" si="6"/>
        <v>0</v>
      </c>
      <c r="L33" s="9">
        <f t="shared" si="6"/>
        <v>0</v>
      </c>
      <c r="M33" s="9">
        <f t="shared" si="6"/>
        <v>0</v>
      </c>
      <c r="N33" s="9">
        <f t="shared" si="7"/>
        <v>0</v>
      </c>
      <c r="O33" s="10">
        <f>IFERROR(E33-B10,"")</f>
        <v>0</v>
      </c>
      <c r="P33" s="10">
        <f>IFERROR(F33-C10,"")</f>
        <v>0</v>
      </c>
      <c r="Q33" s="10">
        <f>IFERROR(G33-D10,"")</f>
        <v>0</v>
      </c>
      <c r="R33" s="10">
        <f t="shared" si="8"/>
        <v>0</v>
      </c>
      <c r="S33" s="11">
        <f>IFERROR(B33-B10,"")</f>
        <v>0</v>
      </c>
      <c r="T33" s="11">
        <f>IFERROR(C33-C10,"")</f>
        <v>0</v>
      </c>
      <c r="U33" s="11">
        <f>IFERROR(D33-D10,"")</f>
        <v>0</v>
      </c>
      <c r="V33" s="11">
        <f t="shared" si="9"/>
        <v>0</v>
      </c>
    </row>
    <row r="34" spans="1:22" ht="15" customHeight="1" x14ac:dyDescent="0.25">
      <c r="A34" s="4">
        <v>7</v>
      </c>
      <c r="B34" s="5"/>
      <c r="C34" s="5"/>
      <c r="D34" s="5"/>
      <c r="E34" s="5"/>
      <c r="F34" s="5"/>
      <c r="G34" s="5"/>
      <c r="H34" s="7">
        <f t="shared" si="10"/>
        <v>0</v>
      </c>
      <c r="I34" s="7">
        <f t="shared" si="10"/>
        <v>0</v>
      </c>
      <c r="J34" s="7">
        <f t="shared" si="11"/>
        <v>0</v>
      </c>
      <c r="K34" s="9">
        <f t="shared" si="6"/>
        <v>0</v>
      </c>
      <c r="L34" s="9">
        <f t="shared" si="6"/>
        <v>0</v>
      </c>
      <c r="M34" s="9">
        <f t="shared" si="6"/>
        <v>0</v>
      </c>
      <c r="N34" s="9">
        <f t="shared" si="7"/>
        <v>0</v>
      </c>
      <c r="O34" s="10">
        <f>IFERROR(E34-B10,"")</f>
        <v>0</v>
      </c>
      <c r="P34" s="10">
        <f>IFERROR(F34-C10,"")</f>
        <v>0</v>
      </c>
      <c r="Q34" s="10">
        <f>IFERROR(G34-D10,"")</f>
        <v>0</v>
      </c>
      <c r="R34" s="10">
        <f t="shared" si="8"/>
        <v>0</v>
      </c>
      <c r="S34" s="11">
        <f>IFERROR(B34-B10,"")</f>
        <v>0</v>
      </c>
      <c r="T34" s="11">
        <f>IFERROR(C34-C10,"")</f>
        <v>0</v>
      </c>
      <c r="U34" s="11">
        <f>IFERROR(D34-D10,"")</f>
        <v>0</v>
      </c>
      <c r="V34" s="11">
        <f t="shared" si="9"/>
        <v>0</v>
      </c>
    </row>
    <row r="35" spans="1:22" ht="15" customHeight="1" x14ac:dyDescent="0.25">
      <c r="A35" s="4">
        <v>8</v>
      </c>
      <c r="B35" s="5"/>
      <c r="C35" s="5"/>
      <c r="D35" s="5"/>
      <c r="E35" s="5"/>
      <c r="F35" s="5"/>
      <c r="G35" s="5"/>
      <c r="H35" s="7">
        <f t="shared" si="10"/>
        <v>0</v>
      </c>
      <c r="I35" s="7">
        <f t="shared" si="10"/>
        <v>0</v>
      </c>
      <c r="J35" s="7">
        <f t="shared" si="11"/>
        <v>0</v>
      </c>
      <c r="K35" s="9">
        <f t="shared" si="6"/>
        <v>0</v>
      </c>
      <c r="L35" s="9">
        <f t="shared" si="6"/>
        <v>0</v>
      </c>
      <c r="M35" s="9">
        <f t="shared" si="6"/>
        <v>0</v>
      </c>
      <c r="N35" s="9">
        <f t="shared" si="7"/>
        <v>0</v>
      </c>
      <c r="O35" s="10">
        <f>IFERROR(E35-B10,"")</f>
        <v>0</v>
      </c>
      <c r="P35" s="10">
        <f>IFERROR(F35-C10,"")</f>
        <v>0</v>
      </c>
      <c r="Q35" s="10">
        <f>IFERROR(G35-D10,"")</f>
        <v>0</v>
      </c>
      <c r="R35" s="10">
        <f t="shared" si="8"/>
        <v>0</v>
      </c>
      <c r="S35" s="11">
        <f>IFERROR(B35-B10,"")</f>
        <v>0</v>
      </c>
      <c r="T35" s="11">
        <f>IFERROR(C35-C10,"")</f>
        <v>0</v>
      </c>
      <c r="U35" s="11">
        <f>IFERROR(D35-D10,"")</f>
        <v>0</v>
      </c>
      <c r="V35" s="11">
        <f t="shared" si="9"/>
        <v>0</v>
      </c>
    </row>
    <row r="36" spans="1:22" ht="15" customHeight="1" x14ac:dyDescent="0.25">
      <c r="A36" s="4">
        <v>9</v>
      </c>
      <c r="B36" s="5"/>
      <c r="C36" s="5"/>
      <c r="D36" s="5"/>
      <c r="E36" s="5"/>
      <c r="F36" s="5"/>
      <c r="G36" s="5"/>
      <c r="H36" s="7">
        <f t="shared" si="10"/>
        <v>0</v>
      </c>
      <c r="I36" s="7">
        <f t="shared" si="10"/>
        <v>0</v>
      </c>
      <c r="J36" s="7">
        <f t="shared" si="11"/>
        <v>0</v>
      </c>
      <c r="K36" s="9">
        <f t="shared" si="6"/>
        <v>0</v>
      </c>
      <c r="L36" s="9">
        <f t="shared" si="6"/>
        <v>0</v>
      </c>
      <c r="M36" s="9">
        <f t="shared" si="6"/>
        <v>0</v>
      </c>
      <c r="N36" s="9">
        <f t="shared" si="7"/>
        <v>0</v>
      </c>
      <c r="O36" s="10">
        <f>IFERROR(E36-B10,"")</f>
        <v>0</v>
      </c>
      <c r="P36" s="10">
        <f>IFERROR(F36-C10,"")</f>
        <v>0</v>
      </c>
      <c r="Q36" s="10">
        <f>IFERROR(G36-D10,"")</f>
        <v>0</v>
      </c>
      <c r="R36" s="10">
        <f t="shared" si="8"/>
        <v>0</v>
      </c>
      <c r="S36" s="11">
        <f>IFERROR(B36-B10,"")</f>
        <v>0</v>
      </c>
      <c r="T36" s="11">
        <f>IFERROR(C36-C10,"")</f>
        <v>0</v>
      </c>
      <c r="U36" s="11">
        <f>IFERROR(D36-D10,"")</f>
        <v>0</v>
      </c>
      <c r="V36" s="11">
        <f t="shared" si="9"/>
        <v>0</v>
      </c>
    </row>
    <row r="37" spans="1:22" ht="15" customHeight="1" x14ac:dyDescent="0.25">
      <c r="A37" s="4">
        <v>10</v>
      </c>
      <c r="B37" s="5"/>
      <c r="C37" s="5"/>
      <c r="D37" s="5"/>
      <c r="E37" s="5"/>
      <c r="F37" s="5"/>
      <c r="G37" s="5"/>
      <c r="H37" s="7">
        <f t="shared" si="10"/>
        <v>0</v>
      </c>
      <c r="I37" s="7">
        <f t="shared" si="10"/>
        <v>0</v>
      </c>
      <c r="J37" s="7">
        <f t="shared" si="11"/>
        <v>0</v>
      </c>
      <c r="K37" s="9">
        <f t="shared" si="6"/>
        <v>0</v>
      </c>
      <c r="L37" s="9">
        <f t="shared" si="6"/>
        <v>0</v>
      </c>
      <c r="M37" s="9">
        <f t="shared" si="6"/>
        <v>0</v>
      </c>
      <c r="N37" s="9">
        <f t="shared" si="7"/>
        <v>0</v>
      </c>
      <c r="O37" s="10">
        <f t="shared" ref="O37:Q37" si="12">IFERROR(E37-B10,"")</f>
        <v>0</v>
      </c>
      <c r="P37" s="10">
        <f t="shared" si="12"/>
        <v>0</v>
      </c>
      <c r="Q37" s="10">
        <f t="shared" si="12"/>
        <v>0</v>
      </c>
      <c r="R37" s="10">
        <f t="shared" si="8"/>
        <v>0</v>
      </c>
      <c r="S37" s="11">
        <f t="shared" ref="S37:U37" si="13">IFERROR(B37-B10,"")</f>
        <v>0</v>
      </c>
      <c r="T37" s="11">
        <f t="shared" si="13"/>
        <v>0</v>
      </c>
      <c r="U37" s="11">
        <f t="shared" si="13"/>
        <v>0</v>
      </c>
      <c r="V37" s="11">
        <f t="shared" si="9"/>
        <v>0</v>
      </c>
    </row>
    <row r="38" spans="1:22" ht="15" customHeight="1" x14ac:dyDescent="0.25"/>
    <row r="39" spans="1:22" ht="15" customHeight="1" x14ac:dyDescent="0.25">
      <c r="A39" s="1" t="s">
        <v>34</v>
      </c>
      <c r="B39" s="1"/>
      <c r="C39" s="1"/>
      <c r="D39" s="1"/>
      <c r="E39" s="1"/>
      <c r="F39" s="1"/>
      <c r="G39" s="1"/>
      <c r="H39" s="1"/>
      <c r="I39" s="1"/>
      <c r="J39" s="1"/>
    </row>
    <row r="40" spans="1:22" ht="15" customHeight="1" x14ac:dyDescent="0.25">
      <c r="A40" s="6" t="s">
        <v>13</v>
      </c>
      <c r="B40" s="6" t="s">
        <v>14</v>
      </c>
      <c r="C40" s="6" t="s">
        <v>15</v>
      </c>
      <c r="D40" s="6" t="s">
        <v>16</v>
      </c>
      <c r="E40" s="6" t="s">
        <v>17</v>
      </c>
      <c r="F40" s="6" t="s">
        <v>18</v>
      </c>
      <c r="G40" s="6" t="s">
        <v>19</v>
      </c>
      <c r="H40" s="6" t="s">
        <v>20</v>
      </c>
      <c r="I40" s="6" t="s">
        <v>21</v>
      </c>
      <c r="J40" s="6" t="s">
        <v>22</v>
      </c>
      <c r="K40" t="str">
        <f t="shared" si="6"/>
        <v/>
      </c>
      <c r="L40" t="str">
        <f t="shared" si="6"/>
        <v/>
      </c>
      <c r="M40" t="str">
        <f t="shared" si="6"/>
        <v/>
      </c>
      <c r="N40" t="str">
        <f t="shared" si="7"/>
        <v/>
      </c>
      <c r="O40" t="str">
        <f>IFERROR(E40-B11,"")</f>
        <v/>
      </c>
      <c r="P40" t="str">
        <f>IFERROR(F40-C11,"")</f>
        <v/>
      </c>
      <c r="Q40" t="str">
        <f>IFERROR(G40-D11,"")</f>
        <v/>
      </c>
      <c r="R40" t="str">
        <f t="shared" si="8"/>
        <v/>
      </c>
      <c r="S40" t="str">
        <f>IFERROR(B40-B11,"")</f>
        <v/>
      </c>
      <c r="T40" t="str">
        <f>IFERROR(C40-C11,"")</f>
        <v/>
      </c>
      <c r="U40" t="str">
        <f>IFERROR(D40-D11,"")</f>
        <v/>
      </c>
      <c r="V40" t="str">
        <f t="shared" si="9"/>
        <v/>
      </c>
    </row>
    <row r="41" spans="1:22" ht="15" customHeight="1" x14ac:dyDescent="0.25">
      <c r="A41" s="4">
        <v>1</v>
      </c>
      <c r="B41" s="5">
        <v>6</v>
      </c>
      <c r="C41" s="5">
        <v>194</v>
      </c>
      <c r="D41" s="5">
        <v>-2E-3</v>
      </c>
      <c r="E41" s="5">
        <v>1.6</v>
      </c>
      <c r="F41" s="5">
        <v>210.5</v>
      </c>
      <c r="G41" s="5">
        <v>4.0000000000000001E-3</v>
      </c>
      <c r="H41" s="7">
        <f t="shared" ref="H41:I50" si="14">B41-E41</f>
        <v>4.4000000000000004</v>
      </c>
      <c r="I41" s="7">
        <f t="shared" si="14"/>
        <v>-16.5</v>
      </c>
      <c r="J41" s="7">
        <f t="shared" ref="J41:J50" si="15">IFERROR(SQRT(H41^2+I41^2),"")</f>
        <v>17.076592165886026</v>
      </c>
      <c r="K41" s="9">
        <f t="shared" si="6"/>
        <v>-4.4000000000000004</v>
      </c>
      <c r="L41" s="9">
        <f t="shared" si="6"/>
        <v>16.5</v>
      </c>
      <c r="M41" s="9">
        <f t="shared" si="6"/>
        <v>6.0000000000000001E-3</v>
      </c>
      <c r="N41" s="9">
        <f t="shared" si="7"/>
        <v>17.076592165886026</v>
      </c>
      <c r="O41" s="10">
        <f>IFERROR(E41-B11,"")</f>
        <v>1.6</v>
      </c>
      <c r="P41" s="10">
        <f>IFERROR(F41-C11,"")</f>
        <v>10.5</v>
      </c>
      <c r="Q41" s="10">
        <f>IFERROR(G41-D11,"")</f>
        <v>4.0000000000000001E-3</v>
      </c>
      <c r="R41" s="10">
        <f t="shared" si="8"/>
        <v>10.621205204683694</v>
      </c>
      <c r="S41" s="11">
        <f>IFERROR(B41-B11,"")</f>
        <v>6</v>
      </c>
      <c r="T41" s="11">
        <f>IFERROR(C41-C11,"")</f>
        <v>-6</v>
      </c>
      <c r="U41" s="11">
        <f>IFERROR(D41-D11,"")</f>
        <v>-2E-3</v>
      </c>
      <c r="V41" s="11">
        <f t="shared" si="9"/>
        <v>8.4852813742385695</v>
      </c>
    </row>
    <row r="42" spans="1:22" ht="15" customHeight="1" x14ac:dyDescent="0.25">
      <c r="A42" s="4">
        <v>2</v>
      </c>
      <c r="B42" s="5"/>
      <c r="C42" s="5"/>
      <c r="D42" s="5"/>
      <c r="E42" s="5"/>
      <c r="F42" s="5"/>
      <c r="G42" s="5"/>
      <c r="H42" s="7">
        <f t="shared" si="14"/>
        <v>0</v>
      </c>
      <c r="I42" s="7">
        <f t="shared" si="14"/>
        <v>0</v>
      </c>
      <c r="J42" s="7">
        <f t="shared" si="15"/>
        <v>0</v>
      </c>
      <c r="K42" s="9">
        <f t="shared" si="6"/>
        <v>0</v>
      </c>
      <c r="L42" s="9">
        <f t="shared" si="6"/>
        <v>0</v>
      </c>
      <c r="M42" s="9">
        <f t="shared" si="6"/>
        <v>0</v>
      </c>
      <c r="N42" s="9">
        <f t="shared" si="7"/>
        <v>0</v>
      </c>
      <c r="O42" s="10">
        <f>IFERROR(E42-B11,"")</f>
        <v>0</v>
      </c>
      <c r="P42" s="10">
        <f>IFERROR(F42-C11,"")</f>
        <v>-200</v>
      </c>
      <c r="Q42" s="10">
        <f>IFERROR(G42-D11,"")</f>
        <v>0</v>
      </c>
      <c r="R42" s="10">
        <f t="shared" si="8"/>
        <v>200</v>
      </c>
      <c r="S42" s="11">
        <f>IFERROR(B42-B11,"")</f>
        <v>0</v>
      </c>
      <c r="T42" s="11">
        <f>IFERROR(C42-C11,"")</f>
        <v>-200</v>
      </c>
      <c r="U42" s="11">
        <f>IFERROR(D42-D11,"")</f>
        <v>0</v>
      </c>
      <c r="V42" s="11">
        <f t="shared" si="9"/>
        <v>200</v>
      </c>
    </row>
    <row r="43" spans="1:22" ht="15" customHeight="1" x14ac:dyDescent="0.25">
      <c r="A43" s="4">
        <v>3</v>
      </c>
      <c r="B43" s="5"/>
      <c r="C43" s="5"/>
      <c r="D43" s="5"/>
      <c r="E43" s="5"/>
      <c r="F43" s="5"/>
      <c r="G43" s="5"/>
      <c r="H43" s="7">
        <f t="shared" si="14"/>
        <v>0</v>
      </c>
      <c r="I43" s="7">
        <f t="shared" si="14"/>
        <v>0</v>
      </c>
      <c r="J43" s="7">
        <f t="shared" si="15"/>
        <v>0</v>
      </c>
      <c r="K43" s="9">
        <f t="shared" si="6"/>
        <v>0</v>
      </c>
      <c r="L43" s="9">
        <f t="shared" si="6"/>
        <v>0</v>
      </c>
      <c r="M43" s="9">
        <f t="shared" si="6"/>
        <v>0</v>
      </c>
      <c r="N43" s="9">
        <f t="shared" si="7"/>
        <v>0</v>
      </c>
      <c r="O43" s="10">
        <f>IFERROR(E43-B11,"")</f>
        <v>0</v>
      </c>
      <c r="P43" s="10">
        <f>IFERROR(F43-C11,"")</f>
        <v>-200</v>
      </c>
      <c r="Q43" s="10">
        <f>IFERROR(G43-D11,"")</f>
        <v>0</v>
      </c>
      <c r="R43" s="10">
        <f t="shared" si="8"/>
        <v>200</v>
      </c>
      <c r="S43" s="11">
        <f>IFERROR(B43-B11,"")</f>
        <v>0</v>
      </c>
      <c r="T43" s="11">
        <f>IFERROR(C43-C11,"")</f>
        <v>-200</v>
      </c>
      <c r="U43" s="11">
        <f>IFERROR(D43-D11,"")</f>
        <v>0</v>
      </c>
      <c r="V43" s="11">
        <f t="shared" si="9"/>
        <v>200</v>
      </c>
    </row>
    <row r="44" spans="1:22" ht="15" customHeight="1" x14ac:dyDescent="0.25">
      <c r="A44" s="4">
        <v>4</v>
      </c>
      <c r="B44" s="5"/>
      <c r="C44" s="5"/>
      <c r="D44" s="5"/>
      <c r="E44" s="5"/>
      <c r="F44" s="5"/>
      <c r="G44" s="5"/>
      <c r="H44" s="7">
        <f t="shared" si="14"/>
        <v>0</v>
      </c>
      <c r="I44" s="7">
        <f t="shared" si="14"/>
        <v>0</v>
      </c>
      <c r="J44" s="7">
        <f t="shared" si="15"/>
        <v>0</v>
      </c>
      <c r="K44" s="9">
        <f t="shared" si="6"/>
        <v>0</v>
      </c>
      <c r="L44" s="9">
        <f t="shared" si="6"/>
        <v>0</v>
      </c>
      <c r="M44" s="9">
        <f t="shared" si="6"/>
        <v>0</v>
      </c>
      <c r="N44" s="9">
        <f t="shared" si="7"/>
        <v>0</v>
      </c>
      <c r="O44" s="10">
        <f>IFERROR(E44-B11,"")</f>
        <v>0</v>
      </c>
      <c r="P44" s="10">
        <f>IFERROR(F44-C11,"")</f>
        <v>-200</v>
      </c>
      <c r="Q44" s="10">
        <f>IFERROR(G44-D11,"")</f>
        <v>0</v>
      </c>
      <c r="R44" s="10">
        <f t="shared" si="8"/>
        <v>200</v>
      </c>
      <c r="S44" s="11">
        <f>IFERROR(B44-B11,"")</f>
        <v>0</v>
      </c>
      <c r="T44" s="11">
        <f>IFERROR(C44-C11,"")</f>
        <v>-200</v>
      </c>
      <c r="U44" s="11">
        <f>IFERROR(D44-D11,"")</f>
        <v>0</v>
      </c>
      <c r="V44" s="11">
        <f t="shared" si="9"/>
        <v>200</v>
      </c>
    </row>
    <row r="45" spans="1:22" ht="15" customHeight="1" x14ac:dyDescent="0.25">
      <c r="A45" s="4">
        <v>5</v>
      </c>
      <c r="B45" s="5"/>
      <c r="C45" s="5"/>
      <c r="D45" s="5"/>
      <c r="E45" s="5"/>
      <c r="F45" s="5"/>
      <c r="G45" s="5"/>
      <c r="H45" s="7">
        <f t="shared" si="14"/>
        <v>0</v>
      </c>
      <c r="I45" s="7">
        <f t="shared" si="14"/>
        <v>0</v>
      </c>
      <c r="J45" s="7">
        <f t="shared" si="15"/>
        <v>0</v>
      </c>
      <c r="K45" s="9">
        <f t="shared" si="6"/>
        <v>0</v>
      </c>
      <c r="L45" s="9">
        <f t="shared" si="6"/>
        <v>0</v>
      </c>
      <c r="M45" s="9">
        <f t="shared" si="6"/>
        <v>0</v>
      </c>
      <c r="N45" s="9">
        <f t="shared" si="7"/>
        <v>0</v>
      </c>
      <c r="O45" s="10">
        <f>IFERROR(E45-B11,"")</f>
        <v>0</v>
      </c>
      <c r="P45" s="10">
        <f>IFERROR(F45-C11,"")</f>
        <v>-200</v>
      </c>
      <c r="Q45" s="10">
        <f>IFERROR(G45-D11,"")</f>
        <v>0</v>
      </c>
      <c r="R45" s="10">
        <f t="shared" si="8"/>
        <v>200</v>
      </c>
      <c r="S45" s="11">
        <f>IFERROR(B45-B11,"")</f>
        <v>0</v>
      </c>
      <c r="T45" s="11">
        <f>IFERROR(C45-C11,"")</f>
        <v>-200</v>
      </c>
      <c r="U45" s="11">
        <f>IFERROR(D45-D11,"")</f>
        <v>0</v>
      </c>
      <c r="V45" s="11">
        <f t="shared" si="9"/>
        <v>200</v>
      </c>
    </row>
    <row r="46" spans="1:22" ht="15" customHeight="1" x14ac:dyDescent="0.25">
      <c r="A46" s="4">
        <v>6</v>
      </c>
      <c r="B46" s="5"/>
      <c r="C46" s="5"/>
      <c r="D46" s="5"/>
      <c r="E46" s="5"/>
      <c r="F46" s="5"/>
      <c r="G46" s="5"/>
      <c r="H46" s="7">
        <f t="shared" si="14"/>
        <v>0</v>
      </c>
      <c r="I46" s="7">
        <f t="shared" si="14"/>
        <v>0</v>
      </c>
      <c r="J46" s="7">
        <f t="shared" si="15"/>
        <v>0</v>
      </c>
      <c r="K46" s="9">
        <f t="shared" si="6"/>
        <v>0</v>
      </c>
      <c r="L46" s="9">
        <f t="shared" si="6"/>
        <v>0</v>
      </c>
      <c r="M46" s="9">
        <f t="shared" si="6"/>
        <v>0</v>
      </c>
      <c r="N46" s="9">
        <f t="shared" si="7"/>
        <v>0</v>
      </c>
      <c r="O46" s="10">
        <f>IFERROR(E46-B11,"")</f>
        <v>0</v>
      </c>
      <c r="P46" s="10">
        <f>IFERROR(F46-C11,"")</f>
        <v>-200</v>
      </c>
      <c r="Q46" s="10">
        <f>IFERROR(G46-D11,"")</f>
        <v>0</v>
      </c>
      <c r="R46" s="10">
        <f t="shared" si="8"/>
        <v>200</v>
      </c>
      <c r="S46" s="11">
        <f>IFERROR(B46-B11,"")</f>
        <v>0</v>
      </c>
      <c r="T46" s="11">
        <f>IFERROR(C46-C11,"")</f>
        <v>-200</v>
      </c>
      <c r="U46" s="11">
        <f>IFERROR(D46-D11,"")</f>
        <v>0</v>
      </c>
      <c r="V46" s="11">
        <f t="shared" si="9"/>
        <v>200</v>
      </c>
    </row>
    <row r="47" spans="1:22" ht="15" customHeight="1" x14ac:dyDescent="0.25">
      <c r="A47" s="4">
        <v>7</v>
      </c>
      <c r="B47" s="5"/>
      <c r="C47" s="5"/>
      <c r="D47" s="5"/>
      <c r="E47" s="5"/>
      <c r="F47" s="5"/>
      <c r="G47" s="5"/>
      <c r="H47" s="7">
        <f t="shared" si="14"/>
        <v>0</v>
      </c>
      <c r="I47" s="7">
        <f t="shared" si="14"/>
        <v>0</v>
      </c>
      <c r="J47" s="7">
        <f t="shared" si="15"/>
        <v>0</v>
      </c>
      <c r="K47" s="9">
        <f t="shared" si="6"/>
        <v>0</v>
      </c>
      <c r="L47" s="9">
        <f t="shared" si="6"/>
        <v>0</v>
      </c>
      <c r="M47" s="9">
        <f t="shared" si="6"/>
        <v>0</v>
      </c>
      <c r="N47" s="9">
        <f t="shared" si="7"/>
        <v>0</v>
      </c>
      <c r="O47" s="10">
        <f>IFERROR(E47-B11,"")</f>
        <v>0</v>
      </c>
      <c r="P47" s="10">
        <f>IFERROR(F47-C11,"")</f>
        <v>-200</v>
      </c>
      <c r="Q47" s="10">
        <f>IFERROR(G47-D11,"")</f>
        <v>0</v>
      </c>
      <c r="R47" s="10">
        <f t="shared" si="8"/>
        <v>200</v>
      </c>
      <c r="S47" s="11">
        <f>IFERROR(B47-B11,"")</f>
        <v>0</v>
      </c>
      <c r="T47" s="11">
        <f>IFERROR(C47-C11,"")</f>
        <v>-200</v>
      </c>
      <c r="U47" s="11">
        <f>IFERROR(D47-D11,"")</f>
        <v>0</v>
      </c>
      <c r="V47" s="11">
        <f t="shared" si="9"/>
        <v>200</v>
      </c>
    </row>
    <row r="48" spans="1:22" ht="15" customHeight="1" x14ac:dyDescent="0.25">
      <c r="A48" s="4">
        <v>8</v>
      </c>
      <c r="B48" s="5"/>
      <c r="C48" s="5"/>
      <c r="D48" s="5"/>
      <c r="E48" s="5"/>
      <c r="F48" s="5"/>
      <c r="G48" s="5"/>
      <c r="H48" s="7">
        <f t="shared" si="14"/>
        <v>0</v>
      </c>
      <c r="I48" s="7">
        <f t="shared" si="14"/>
        <v>0</v>
      </c>
      <c r="J48" s="7">
        <f t="shared" si="15"/>
        <v>0</v>
      </c>
      <c r="K48" s="9">
        <f t="shared" si="6"/>
        <v>0</v>
      </c>
      <c r="L48" s="9">
        <f t="shared" si="6"/>
        <v>0</v>
      </c>
      <c r="M48" s="9">
        <f t="shared" si="6"/>
        <v>0</v>
      </c>
      <c r="N48" s="9">
        <f t="shared" si="7"/>
        <v>0</v>
      </c>
      <c r="O48" s="10">
        <f>IFERROR(E48-B11,"")</f>
        <v>0</v>
      </c>
      <c r="P48" s="10">
        <f>IFERROR(F48-C11,"")</f>
        <v>-200</v>
      </c>
      <c r="Q48" s="10">
        <f>IFERROR(G48-D11,"")</f>
        <v>0</v>
      </c>
      <c r="R48" s="10">
        <f t="shared" si="8"/>
        <v>200</v>
      </c>
      <c r="S48" s="11">
        <f>IFERROR(B48-B11,"")</f>
        <v>0</v>
      </c>
      <c r="T48" s="11">
        <f>IFERROR(C48-C11,"")</f>
        <v>-200</v>
      </c>
      <c r="U48" s="11">
        <f>IFERROR(D48-D11,"")</f>
        <v>0</v>
      </c>
      <c r="V48" s="11">
        <f t="shared" si="9"/>
        <v>200</v>
      </c>
    </row>
    <row r="49" spans="1:22" ht="15" customHeight="1" x14ac:dyDescent="0.25">
      <c r="A49" s="4">
        <v>9</v>
      </c>
      <c r="B49" s="5"/>
      <c r="C49" s="5"/>
      <c r="D49" s="5"/>
      <c r="E49" s="5"/>
      <c r="F49" s="5"/>
      <c r="G49" s="5"/>
      <c r="H49" s="7">
        <f t="shared" si="14"/>
        <v>0</v>
      </c>
      <c r="I49" s="7">
        <f t="shared" si="14"/>
        <v>0</v>
      </c>
      <c r="J49" s="7">
        <f t="shared" si="15"/>
        <v>0</v>
      </c>
      <c r="K49" s="9">
        <f t="shared" si="6"/>
        <v>0</v>
      </c>
      <c r="L49" s="9">
        <f t="shared" si="6"/>
        <v>0</v>
      </c>
      <c r="M49" s="9">
        <f t="shared" si="6"/>
        <v>0</v>
      </c>
      <c r="N49" s="9">
        <f t="shared" si="7"/>
        <v>0</v>
      </c>
      <c r="O49" s="10">
        <f>IFERROR(E49-B11,"")</f>
        <v>0</v>
      </c>
      <c r="P49" s="10">
        <f>IFERROR(F49-C11,"")</f>
        <v>-200</v>
      </c>
      <c r="Q49" s="10">
        <f>IFERROR(G49-D11,"")</f>
        <v>0</v>
      </c>
      <c r="R49" s="10">
        <f t="shared" si="8"/>
        <v>200</v>
      </c>
      <c r="S49" s="11">
        <f>IFERROR(B49-B11,"")</f>
        <v>0</v>
      </c>
      <c r="T49" s="11">
        <f>IFERROR(C49-C11,"")</f>
        <v>-200</v>
      </c>
      <c r="U49" s="11">
        <f>IFERROR(D49-D11,"")</f>
        <v>0</v>
      </c>
      <c r="V49" s="11">
        <f t="shared" si="9"/>
        <v>200</v>
      </c>
    </row>
    <row r="50" spans="1:22" ht="15" customHeight="1" x14ac:dyDescent="0.25">
      <c r="A50" s="4">
        <v>10</v>
      </c>
      <c r="B50" s="5"/>
      <c r="C50" s="5"/>
      <c r="D50" s="5"/>
      <c r="E50" s="5"/>
      <c r="F50" s="5"/>
      <c r="G50" s="5"/>
      <c r="H50" s="7">
        <f t="shared" si="14"/>
        <v>0</v>
      </c>
      <c r="I50" s="7">
        <f t="shared" si="14"/>
        <v>0</v>
      </c>
      <c r="J50" s="7">
        <f t="shared" si="15"/>
        <v>0</v>
      </c>
      <c r="K50" s="9">
        <f t="shared" si="6"/>
        <v>0</v>
      </c>
      <c r="L50" s="9">
        <f t="shared" si="6"/>
        <v>0</v>
      </c>
      <c r="M50" s="9">
        <f t="shared" si="6"/>
        <v>0</v>
      </c>
      <c r="N50" s="9">
        <f t="shared" si="7"/>
        <v>0</v>
      </c>
      <c r="O50" s="10">
        <f>IFERROR(E50-B11,"")</f>
        <v>0</v>
      </c>
      <c r="P50" s="10">
        <f>IFERROR(F50-C11,"")</f>
        <v>-200</v>
      </c>
      <c r="Q50" s="10">
        <f>IFERROR(G50-D11,"")</f>
        <v>0</v>
      </c>
      <c r="R50" s="10">
        <f t="shared" si="8"/>
        <v>200</v>
      </c>
      <c r="S50" s="11">
        <f>IFERROR(B50-B11,"")</f>
        <v>0</v>
      </c>
      <c r="T50" s="11">
        <f>IFERROR(C50-C11,"")</f>
        <v>-200</v>
      </c>
      <c r="U50" s="11">
        <f>IFERROR(D50-D11,"")</f>
        <v>0</v>
      </c>
      <c r="V50" s="11">
        <f t="shared" si="9"/>
        <v>200</v>
      </c>
    </row>
    <row r="52" spans="1:22" ht="15" customHeight="1" x14ac:dyDescent="0.25">
      <c r="A52" s="1" t="s">
        <v>35</v>
      </c>
      <c r="B52" s="1"/>
      <c r="C52" s="1"/>
      <c r="D52" s="1"/>
    </row>
    <row r="53" spans="1:22" ht="15" customHeight="1" x14ac:dyDescent="0.25">
      <c r="A53" s="4" t="s">
        <v>36</v>
      </c>
      <c r="B53" s="8">
        <f>IFERROR(AVERAGE(H15:H24),"")</f>
        <v>-1.2400000000000007</v>
      </c>
    </row>
    <row r="54" spans="1:22" ht="15" customHeight="1" x14ac:dyDescent="0.25">
      <c r="A54" s="4" t="s">
        <v>37</v>
      </c>
      <c r="B54" s="8">
        <f>IFERROR(AVERAGE(I15:I24),"")</f>
        <v>-0.01</v>
      </c>
    </row>
    <row r="55" spans="1:22" ht="15" customHeight="1" x14ac:dyDescent="0.25">
      <c r="A55" s="4" t="s">
        <v>38</v>
      </c>
      <c r="B55" s="8">
        <f>IFERROR(STDEV(H15:H24),"")</f>
        <v>3.921224298608792</v>
      </c>
    </row>
    <row r="56" spans="1:22" ht="15" customHeight="1" x14ac:dyDescent="0.25">
      <c r="A56" s="4" t="s">
        <v>39</v>
      </c>
      <c r="B56" s="8">
        <f>IFERROR(STDEV(I15:I24),"")</f>
        <v>3.1622776601683791E-2</v>
      </c>
    </row>
    <row r="57" spans="1:22" ht="15" customHeight="1" x14ac:dyDescent="0.25">
      <c r="A57" s="4" t="s">
        <v>40</v>
      </c>
      <c r="B57" s="8">
        <f>IFERROR(AVERAGE(J15:J24),"")</f>
        <v>1.240040321925058</v>
      </c>
    </row>
    <row r="58" spans="1:22" ht="15" customHeight="1" x14ac:dyDescent="0.25">
      <c r="A58" s="4" t="s">
        <v>41</v>
      </c>
      <c r="B58" s="8">
        <f>IFERROR(MAX(J15:J24),"")</f>
        <v>12.400403219250579</v>
      </c>
    </row>
    <row r="59" spans="1:22" ht="15" customHeight="1" x14ac:dyDescent="0.25">
      <c r="A59" s="4"/>
    </row>
    <row r="60" spans="1:22" ht="15" customHeight="1" x14ac:dyDescent="0.25">
      <c r="A60" s="4" t="s">
        <v>42</v>
      </c>
      <c r="B60" s="8">
        <f>IFERROR(AVERAGE(H28:H37),"")</f>
        <v>0.3</v>
      </c>
    </row>
    <row r="61" spans="1:22" ht="15" customHeight="1" x14ac:dyDescent="0.25">
      <c r="A61" s="4" t="s">
        <v>43</v>
      </c>
      <c r="B61" s="8">
        <f>IFERROR(AVERAGE(I28:I37),"")</f>
        <v>0</v>
      </c>
    </row>
    <row r="62" spans="1:22" ht="15" customHeight="1" x14ac:dyDescent="0.25">
      <c r="A62" s="4" t="s">
        <v>44</v>
      </c>
      <c r="B62" s="8">
        <f>IFERROR(STDEV(H28:H37),"")</f>
        <v>0.94868329805051377</v>
      </c>
    </row>
    <row r="63" spans="1:22" ht="15" customHeight="1" x14ac:dyDescent="0.25">
      <c r="A63" s="4" t="s">
        <v>45</v>
      </c>
      <c r="B63" s="8">
        <f>IFERROR(STDEV(I28:I37),"")</f>
        <v>0</v>
      </c>
    </row>
    <row r="64" spans="1:22" ht="15" customHeight="1" x14ac:dyDescent="0.25">
      <c r="A64" s="4" t="s">
        <v>46</v>
      </c>
      <c r="B64" s="8">
        <f>IFERROR(AVERAGE(J28:J37),"")</f>
        <v>0.3</v>
      </c>
    </row>
    <row r="65" spans="1:2" ht="15" customHeight="1" x14ac:dyDescent="0.25">
      <c r="A65" s="4" t="s">
        <v>47</v>
      </c>
      <c r="B65" s="8">
        <f>IFERROR(MAX(J28:J37),"")</f>
        <v>3</v>
      </c>
    </row>
    <row r="66" spans="1:2" ht="15" customHeight="1" x14ac:dyDescent="0.25">
      <c r="A66" s="4"/>
    </row>
    <row r="67" spans="1:2" ht="15" customHeight="1" x14ac:dyDescent="0.25">
      <c r="A67" s="4" t="s">
        <v>48</v>
      </c>
      <c r="B67" s="8">
        <f>IFERROR(AVERAGE(H41:H50),"")</f>
        <v>0.44000000000000006</v>
      </c>
    </row>
    <row r="68" spans="1:2" ht="15" customHeight="1" x14ac:dyDescent="0.25">
      <c r="A68" s="4" t="s">
        <v>49</v>
      </c>
      <c r="B68" s="8">
        <f>IFERROR(AVERAGE(I41:I50),"")</f>
        <v>-1.65</v>
      </c>
    </row>
    <row r="69" spans="1:2" ht="15" customHeight="1" x14ac:dyDescent="0.25">
      <c r="A69" s="4" t="s">
        <v>50</v>
      </c>
      <c r="B69" s="8">
        <f>IFERROR(STDEV(H41:H50),"")</f>
        <v>1.3914021704740871</v>
      </c>
    </row>
    <row r="70" spans="1:2" ht="15" customHeight="1" x14ac:dyDescent="0.25">
      <c r="A70" s="4" t="s">
        <v>51</v>
      </c>
      <c r="B70" s="8">
        <f>IFERROR(STDEV(I41:I50),"")</f>
        <v>5.2177581392778256</v>
      </c>
    </row>
    <row r="71" spans="1:2" ht="15" customHeight="1" x14ac:dyDescent="0.25">
      <c r="A71" s="4" t="s">
        <v>52</v>
      </c>
      <c r="B71" s="8">
        <f>IFERROR(AVERAGE(J41:J50),"")</f>
        <v>1.7076592165886026</v>
      </c>
    </row>
    <row r="72" spans="1:2" ht="15" customHeight="1" x14ac:dyDescent="0.25">
      <c r="A72" s="4" t="s">
        <v>53</v>
      </c>
      <c r="B72" s="8">
        <f>IFERROR(MAX(J41:J50),"")</f>
        <v>17.076592165886026</v>
      </c>
    </row>
  </sheetData>
  <mergeCells count="5">
    <mergeCell ref="A1:J1"/>
    <mergeCell ref="A13:J13"/>
    <mergeCell ref="A26:J26"/>
    <mergeCell ref="A39:J39"/>
    <mergeCell ref="A52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Exemple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FLEURY Antoine</cp:lastModifiedBy>
  <cp:revision>0</cp:revision>
  <dcterms:created xsi:type="dcterms:W3CDTF">2026-02-07T18:37:12Z</dcterms:created>
  <dcterms:modified xsi:type="dcterms:W3CDTF">2026-02-07T20:59:26Z</dcterms:modified>
  <dc:language>en-US</dc:language>
</cp:coreProperties>
</file>